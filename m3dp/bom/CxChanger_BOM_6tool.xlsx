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OM" sheetId="3" state="visible" r:id="rId5"/>
    <sheet name="Sources" sheetId="4" state="visible" r:id="rId6"/>
  </sheets>
  <definedNames>
    <definedName function="false" hidden="true" localSheetId="2" name="_xlnm._FilterDatabase" vbProcedure="false">BOM!$A$4:$N$42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<sst xmlns="http://schemas.openxmlformats.org/spreadsheetml/2006/main" count="355" uniqueCount="246">
  <si>
    <t xml:space="preserve">CxChanger build cost — Summary</t>
  </si>
  <si>
    <t xml:space="preserve">Section</t>
  </si>
  <si>
    <t xml:space="preserve">Cost (USD)</t>
  </si>
  <si>
    <t xml:space="preserve">Printhead</t>
  </si>
  <si>
    <t xml:space="preserve">Maxwell coupling &amp; docks</t>
  </si>
  <si>
    <t xml:space="preserve">Hotend modules</t>
  </si>
  <si>
    <t xml:space="preserve">Electronics &amp; power</t>
  </si>
  <si>
    <t xml:space="preserve">Printed parts</t>
  </si>
  <si>
    <t xml:space="preserve">Parts subtotal</t>
  </si>
  <si>
    <t xml:space="preserve">Shipping allowance</t>
  </si>
  <si>
    <t xml:space="preserve">Sales tax</t>
  </si>
  <si>
    <t xml:space="preserve">Import fees allowance</t>
  </si>
  <si>
    <t xml:space="preserve">Contingency</t>
  </si>
  <si>
    <t xml:space="preserve">ESTIMATED TOTAL</t>
  </si>
  <si>
    <t xml:space="preserve">Budget</t>
  </si>
  <si>
    <t xml:space="preserve">Remaining budget</t>
  </si>
  <si>
    <t xml:space="preserve">Per-tool cost (hotend modules ÷ tools)</t>
  </si>
  <si>
    <t xml:space="preserve">Not included</t>
  </si>
  <si>
    <t xml:space="preserve">Spool holders / filament buffers for 6 separate spools.</t>
  </si>
  <si>
    <t xml:space="preserve">Klipper config for T4/T5 (upstream ships T0–T3).</t>
  </si>
  <si>
    <t xml:space="preserve">Dock mounting bracket design for the Voron frame (DIY. The project gives the head and basic docks only).</t>
  </si>
  <si>
    <t xml:space="preserve">Klipper toolchanger plugin (free software).</t>
  </si>
  <si>
    <t xml:space="preserve">Spare nozzles.</t>
  </si>
  <si>
    <t xml:space="preserve">CxChanger BOM — Assumptions (edit yellow cells)</t>
  </si>
  <si>
    <t xml:space="preserve">Assumption</t>
  </si>
  <si>
    <t xml:space="preserve">Value</t>
  </si>
  <si>
    <t xml:space="preserve">Note / source</t>
  </si>
  <si>
    <t xml:space="preserve">Number of tools (hotend modules)</t>
  </si>
  <si>
    <t xml:space="preserve">Docks = tools. Upstream config ships T0–T3. Add T4/T5 macros + extruder4/5 sections.</t>
  </si>
  <si>
    <t xml:space="preserve">Use JLC CNC plates? (Y/N)</t>
  </si>
  <si>
    <t xml:space="preserve">N</t>
  </si>
  <si>
    <t xml:space="preserve">N = print the plates (printed version exists). Y adds the JLCCNC line.</t>
  </si>
  <si>
    <t xml:space="preserve">Est. shipping allowance (USD)</t>
  </si>
  <si>
    <t xml:space="preserve">Assumption: most AliExpress Choice items ship free over ~$10/seller; allowance covers small-seller shipping.</t>
  </si>
  <si>
    <t xml:space="preserve">Sales tax rate</t>
  </si>
  <si>
    <t xml:space="preserve">Assumption: Clarksville/Montgomery Co., TN combined rate; AliExpress collects US sales tax at checkout. Verify.</t>
  </si>
  <si>
    <t xml:space="preserve">Import fees / duty allowance</t>
  </si>
  <si>
    <t xml:space="preserve">Assumption: US de minimis no longer covers China imports; AliExpress usually shows import charges at checkout. Adjust after cart check.</t>
  </si>
  <si>
    <t xml:space="preserve">Contingency (wrong parts, re-orders)</t>
  </si>
  <si>
    <t xml:space="preserve">Assumption.</t>
  </si>
  <si>
    <t xml:space="preserve">Budget (USD)</t>
  </si>
  <si>
    <t xml:space="preserve">From Mike's stated toolchanger budget.</t>
  </si>
  <si>
    <t xml:space="preserve">How to use</t>
  </si>
  <si>
    <t xml:space="preserve">1. Change the tool count in B4 — every per-tool quantity on the BOM tab updates.</t>
  </si>
  <si>
    <t xml:space="preserve">2. On the BOM tab, set 'Owned?' to Y for anything you already have; its cost drops to $0.</t>
  </si>
  <si>
    <t xml:space="preserve">3. Replace blue 'Est. price' values with the real cart price as you add each item on AliExpress.</t>
  </si>
  <si>
    <t xml:space="preserve">4. The Summary tab totals everything against your budget.</t>
  </si>
  <si>
    <t xml:space="preserve">CxChanger BOM (v5.5 BOM + v6.11 changes) — 6 tools, Voron 2.4 350</t>
  </si>
  <si>
    <t xml:space="preserve">Checked in a browser on aliexpress.us, 2026-09-30, signed out. Totals use the LIST (strikethrough) price, so they are an upper bound. AliExpress showed $1.09 new-shopper deals on most items; your signed-in cart price will likely be lower. Blue = inputs.</t>
  </si>
  <si>
    <t xml:space="preserve">#</t>
  </si>
  <si>
    <t xml:space="preserve">Part</t>
  </si>
  <si>
    <t xml:space="preserve">Spec</t>
  </si>
  <si>
    <t xml:space="preserve">Qty needed</t>
  </si>
  <si>
    <t xml:space="preserve">Pack size</t>
  </si>
  <si>
    <t xml:space="preserve">Packs to buy</t>
  </si>
  <si>
    <t xml:space="preserve">List price / pack (USD)</t>
  </si>
  <si>
    <t xml:space="preserve">Owned? (Y/N)</t>
  </si>
  <si>
    <t xml:space="preserve">Line cost (USD)</t>
  </si>
  <si>
    <t xml:space="preserve">Link</t>
  </si>
  <si>
    <t xml:space="preserve">Notes</t>
  </si>
  <si>
    <t xml:space="preserve">Verification status (2026-09-30)</t>
  </si>
  <si>
    <t xml:space="preserve">Promo price shown (new-shopper, signed out)</t>
  </si>
  <si>
    <t xml:space="preserve">HGX gear set (gears only)</t>
  </si>
  <si>
    <t xml:space="preserve">Variant: '1 Set HGX Gear' (17/44 double gear + 36T drive gears)</t>
  </si>
  <si>
    <t xml:space="preserve">https://www.aliexpress.us/item/3256808936360634.html</t>
  </si>
  <si>
    <t xml:space="preserve">MEGA 3D Printer Store, 800+ sold, free shipping. The old link (3256807033585974) was a full extruder with motor ($21.21, $46 express shipping), so it was replaced.</t>
  </si>
  <si>
    <t xml:space="preserve">Browser-verified item + variant</t>
  </si>
  <si>
    <t xml:space="preserve">Bearing MR63ZZ 3×6×2.5 mm</t>
  </si>
  <si>
    <t xml:space="preserve">10 pcs/lot</t>
  </si>
  <si>
    <t xml:space="preserve">https://www.aliexpress.us/item/3256801934742685.html</t>
  </si>
  <si>
    <t xml:space="preserve">Homeclub Store, 1,000+ sold.</t>
  </si>
  <si>
    <t xml:space="preserve">Browser-verified item</t>
  </si>
  <si>
    <t xml:space="preserve">Dowel pin Ø3 × 16 mm</t>
  </si>
  <si>
    <t xml:space="preserve">GB119 listing; pick M3 × 16</t>
  </si>
  <si>
    <t xml:space="preserve">https://www.aliexpress.us/item/3256806837028480.html</t>
  </si>
  <si>
    <t xml:space="preserve">304 stainless (not hardened). Variant price not checked. 5,000+ sold.</t>
  </si>
  <si>
    <t xml:space="preserve">Browser-verified listing; variant not priced</t>
  </si>
  <si>
    <t xml:space="preserve">Dowel pin Ø3 × 24 mm</t>
  </si>
  <si>
    <t xml:space="preserve">GB119 listing; pick M3 × 24</t>
  </si>
  <si>
    <t xml:space="preserve">Same listing as above.</t>
  </si>
  <si>
    <t xml:space="preserve">Compression spring assortment</t>
  </si>
  <si>
    <t xml:space="preserve">Small springs for idler</t>
  </si>
  <si>
    <t xml:space="preserve">https://www.aliexpress.us/w/wholesale-compression-spring-assortment.html</t>
  </si>
  <si>
    <t xml:space="preserve">No listing checked.</t>
  </si>
  <si>
    <t xml:space="preserve">Estimate – search link</t>
  </si>
  <si>
    <t xml:space="preserve">NEMA14 36 mm pancake stepper (HGX-LITE pinion)</t>
  </si>
  <si>
    <t xml:space="preserve">'for HGX-LITE dual gear, 10 teeth reduction gear'</t>
  </si>
  <si>
    <t xml:space="preserve">https://www.aliexpress.us/item/3256808807952066.html</t>
  </si>
  <si>
    <t xml:space="preserve">Pinion must mesh with the HGX 17/44 gear. This listing is sold for HGX-LITE. Alternative: Mellow LDO 36STH20 (item 3256802713546002, $21.37 list / $8.62 shown), but check its pinion. Check your Galileo 2 spare motor first.</t>
  </si>
  <si>
    <t xml:space="preserve">Search-page price (item not opened)</t>
  </si>
  <si>
    <t xml:space="preserve">2510 axial fan 24 V (hotend/throat)</t>
  </si>
  <si>
    <t xml:space="preserve">Variant: 24V, hydraulic bearing</t>
  </si>
  <si>
    <t xml:space="preserve">https://www.aliexpress.us/item/2251832624516972.html</t>
  </si>
  <si>
    <t xml:space="preserve">LINK CNC Official Store, 3,000+ sold.</t>
  </si>
  <si>
    <t xml:space="preserve">4020 blower fan 24 V</t>
  </si>
  <si>
    <t xml:space="preserve">Variant: 4020 24V, XH2.54 plug</t>
  </si>
  <si>
    <t xml:space="preserve">https://www.aliexpress.us/item/2251832787493408.html</t>
  </si>
  <si>
    <t xml:space="preserve">IdeaFormer Official Store, 2,000+ sold, free shipping.</t>
  </si>
  <si>
    <t xml:space="preserve">Omron D2F-01F micro switch</t>
  </si>
  <si>
    <t xml:space="preserve">Variant: D2F-01F, 1 pc</t>
  </si>
  <si>
    <t xml:space="preserve">https://www.aliexpress.us/item/3256805018062207.html</t>
  </si>
  <si>
    <t xml:space="preserve">Qty 2: Z probe + v6.11 tool/filament sensor. Listed 'authentic original'. 5,000+ sold.</t>
  </si>
  <si>
    <t xml:space="preserve">M4 hex standoffs</t>
  </si>
  <si>
    <t xml:space="preserve">Pick M4 × 10 (2) and M4 × 14 (1), female-female</t>
  </si>
  <si>
    <t xml:space="preserve">https://www.aliexpress.us/item/3256808527324482.html</t>
  </si>
  <si>
    <t xml:space="preserve">Listing price, variant not checked.</t>
  </si>
  <si>
    <t xml:space="preserve">M4 hollow (through-hole) socket-head bolt</t>
  </si>
  <si>
    <t xml:space="preserve">Pick M4, short length</t>
  </si>
  <si>
    <t xml:space="preserve">https://www.aliexpress.us/item/3256807635919515.html</t>
  </si>
  <si>
    <r>
      <rPr>
        <sz val="11"/>
        <rFont val="Arial"/>
        <family val="0"/>
        <charset val="1"/>
      </rPr>
      <t xml:space="preserve">Original BOM: '</t>
    </r>
    <r>
      <rPr>
        <sz val="11"/>
        <rFont val="Noto Sans CJK SC"/>
        <family val="2"/>
      </rPr>
      <t xml:space="preserve">带孔螺栓</t>
    </r>
    <r>
      <rPr>
        <sz val="11"/>
        <rFont val="Arial"/>
        <family val="0"/>
        <charset val="1"/>
      </rPr>
      <t xml:space="preserve">'.</t>
    </r>
  </si>
  <si>
    <t xml:space="preserve">Metric screw assortment M2 / M2.5 / M3</t>
  </si>
  <si>
    <t xml:space="preserve">SHCS + nuts</t>
  </si>
  <si>
    <t xml:space="preserve">https://www.aliexpress.us/w/wholesale-m2-m2.5-m3-socket-head-screw-kit.html</t>
  </si>
  <si>
    <t xml:space="preserve">No listing checked. Set Owned = Y if you have one.</t>
  </si>
  <si>
    <t xml:space="preserve">M3 × 22 button-head, black 10.9</t>
  </si>
  <si>
    <t xml:space="preserve">Variant: M3 (50pcs), 22mm</t>
  </si>
  <si>
    <t xml:space="preserve">https://www.aliexpress.us/item/2251832782727837.html</t>
  </si>
  <si>
    <t xml:space="preserve">HZYUEGOU.</t>
  </si>
  <si>
    <t xml:space="preserve">M3 heat-set inserts</t>
  </si>
  <si>
    <t xml:space="preserve">Variant: 100 PCS M3X4X5</t>
  </si>
  <si>
    <t xml:space="preserve">https://www.aliexpress.us/item/3256810138806595.html</t>
  </si>
  <si>
    <t xml:space="preserve">Check the size against the CAD holes (project lists M3 × 4 × 4).</t>
  </si>
  <si>
    <t xml:space="preserve">Self-adhesive high-temp silicone strip 10 × 2 mm</t>
  </si>
  <si>
    <t xml:space="preserve">Plugs parked nozzles in the docks</t>
  </si>
  <si>
    <t xml:space="preserve">https://www.aliexpress.us/w/wholesale-silicone-strip-10x2mm-adhesive.html</t>
  </si>
  <si>
    <t xml:space="preserve">No good AliExpress match found (results were door weather-strip). Consider a silicone sheet instead.</t>
  </si>
  <si>
    <t xml:space="preserve">Not found – estimate</t>
  </si>
  <si>
    <t xml:space="preserve">JLC CNC plates (5 parts)</t>
  </si>
  <si>
    <t xml:space="preserve">Top magnet plate, spring plate, swing arms ×2, back plate</t>
  </si>
  <si>
    <t xml:space="preserve">https://jlccnc.com</t>
  </si>
  <si>
    <t xml:space="preserve">Not on AliExpress. Controlled by Assumptions B5.</t>
  </si>
  <si>
    <t xml:space="preserve">Other vendor – estimate</t>
  </si>
  <si>
    <t xml:space="preserve">Dowel pin Ø1.5 × 5 mm</t>
  </si>
  <si>
    <t xml:space="preserve">GB119 listing; pick M1.5 × 5</t>
  </si>
  <si>
    <t xml:space="preserve">Variant price not checked.</t>
  </si>
  <si>
    <t xml:space="preserve">Round-head pin Ø3 × 4 mm</t>
  </si>
  <si>
    <t xml:space="preserve">3 per hotend</t>
  </si>
  <si>
    <t xml:space="preserve">https://www.aliexpress.us/w/wholesale-round-head-pin-3mm.html</t>
  </si>
  <si>
    <t xml:space="preserve">No match found on AliExpress in 3 searches. Chinese BOM links Tmall item 868817943817. Size 3×4 vs 3×6: check the CAD.</t>
  </si>
  <si>
    <t xml:space="preserve">Female-threaded round-head pin M3, Ø5 × 20 mm</t>
  </si>
  <si>
    <t xml:space="preserve">1 per dock</t>
  </si>
  <si>
    <t xml:space="preserve">https://www.aliexpress.us/w/wholesale-m3-internal-thread-round-head-pin-5mm.html</t>
  </si>
  <si>
    <t xml:space="preserve">No match found on AliExpress. Chinese BOM links Tmall item 864132087543.</t>
  </si>
  <si>
    <t xml:space="preserve">N52 magnet Ø6 × 4 mm</t>
  </si>
  <si>
    <t xml:space="preserve">Variant: 6x4mm N52, 50pcs</t>
  </si>
  <si>
    <t xml:space="preserve">https://www.aliexpress.us/item/3256809533301082.html</t>
  </si>
  <si>
    <t xml:space="preserve">Magnet Customised Factory Store, 1,000+ sold. 30pcs is $9.65 and 100pcs is $18.49.</t>
  </si>
  <si>
    <t xml:space="preserve">M3 black grade 12.9 socket-head screw (hook)</t>
  </si>
  <si>
    <t xml:space="preserve">DIN912; length per CAD</t>
  </si>
  <si>
    <t xml:space="preserve">https://www.aliexpress.us/item/3256805693063078.html</t>
  </si>
  <si>
    <t xml:space="preserve">Listing shows ~$0.02/pc. Must be 12.9 alloy steel so the magnets hold it.</t>
  </si>
  <si>
    <t xml:space="preserve">Dock cooling fan 2510 24 V, 1 per dock</t>
  </si>
  <si>
    <t xml:space="preserve">Same LINK CNC listing, 24V</t>
  </si>
  <si>
    <t xml:space="preserve">Size assumed; verify in the 6.11 dock STEP.</t>
  </si>
  <si>
    <t xml:space="preserve">M3 roll-in spring T-nuts (2020)</t>
  </si>
  <si>
    <t xml:space="preserve">2 per dock; 50 pcs</t>
  </si>
  <si>
    <t xml:space="preserve">https://www.aliexpress.us/item/2251832837457300.html</t>
  </si>
  <si>
    <t xml:space="preserve">Listing shows ~$0.05/pc.</t>
  </si>
  <si>
    <t xml:space="preserve">TZ 2.0 hotend (Bambu X1/P1 style) – Mellow</t>
  </si>
  <si>
    <t xml:space="preserve">Variant: 'TZ2 Hotend'</t>
  </si>
  <si>
    <t xml:space="preserve">https://www.aliexpress.us/item/3256805875155396.html</t>
  </si>
  <si>
    <t xml:space="preserve">Mellow 3D Official Store (only 28 sold). The Trianglelab link from the last BOM (1005005920817062) now returns 'page not found' on aliexpress.us. Alternative: YUNSN TZ2.0 kit with 60W heater, item 3256808914626535, 'Hotend for X1' $42.15 list / $33.72 sale. Check whether the Mellow hotend includes a heater.</t>
  </si>
  <si>
    <t xml:space="preserve">Ceramic heater 24 V 48 W + NTC 100K 3950</t>
  </si>
  <si>
    <t xml:space="preserve">Pick 48W (not 60W/82W)</t>
  </si>
  <si>
    <t xml:space="preserve">https://www.aliexpress.us/item/3256808485891466.html</t>
  </si>
  <si>
    <t xml:space="preserve">Use 48 W: 6 × 82 W = 492 W would overload the 350 W PSU during simultaneous preheat. Set sensor_type to Generic 3950. Upstream uses ATC Semitec 104GT-2.</t>
  </si>
  <si>
    <t xml:space="preserve">Silicone sock, Bambu X1/P1</t>
  </si>
  <si>
    <t xml:space="preserve">Variant: For BambuLab X1 P1, 1pcs</t>
  </si>
  <si>
    <t xml:space="preserve">https://www.aliexpress.us/item/3256808316755061.html</t>
  </si>
  <si>
    <t xml:space="preserve">Multi-packs (3/5/10) are available; buying 10 is likely cheaper.</t>
  </si>
  <si>
    <t xml:space="preserve">Flexible towline cable 4-core 22 AWG</t>
  </si>
  <si>
    <t xml:space="preserve">Heater + thermistor, per metre</t>
  </si>
  <si>
    <t xml:space="preserve">https://www.aliexpress.us/item/2255800968230040.html</t>
  </si>
  <si>
    <t xml:space="preserve">Qty in metres. Pick 4-core 22 AWG. Price shown for the default variant.</t>
  </si>
  <si>
    <t xml:space="preserve">Molex Micro-Fit 3.0 housings + terminals</t>
  </si>
  <si>
    <t xml:space="preserve">10 sets, 2-pin</t>
  </si>
  <si>
    <t xml:space="preserve">https://www.aliexpress.us/item/3256802961371687.html</t>
  </si>
  <si>
    <t xml:space="preserve">2 connectors per tool (heater + thermistor).</t>
  </si>
  <si>
    <t xml:space="preserve">Capricorn PTFE 1 m (head liner)</t>
  </si>
  <si>
    <t xml:space="preserve">Variant: 1M PTFE</t>
  </si>
  <si>
    <t xml:space="preserve">https://www.aliexpress.us/item/3256804674205585.html</t>
  </si>
  <si>
    <t xml:space="preserve">Creality Capricorn. Only the head path needs Capricorn.</t>
  </si>
  <si>
    <t xml:space="preserve">Generic PTFE 2 × 4 mm (tool feed tubes)</t>
  </si>
  <si>
    <t xml:space="preserve">~1.5 m per tool</t>
  </si>
  <si>
    <t xml:space="preserve">https://www.aliexpress.us/w/wholesale-ptfe-tube-2x4mm-5m.html</t>
  </si>
  <si>
    <t xml:space="preserve">Qty in metres. No listing checked.</t>
  </si>
  <si>
    <t xml:space="preserve">PC4-M6 push fittings</t>
  </si>
  <si>
    <t xml:space="preserve">Variant: PC4-M6-10pcs</t>
  </si>
  <si>
    <t xml:space="preserve">https://www.aliexpress.us/item/3256809971210588.html</t>
  </si>
  <si>
    <t xml:space="preserve">Mainboard heater/thermistor ports (T0–T3)</t>
  </si>
  <si>
    <t xml:space="preserve">BTT Manta M8P: HE0–HE3 + TH0–TH3</t>
  </si>
  <si>
    <t xml:space="preserve">Y</t>
  </si>
  <si>
    <t xml:space="preserve">Owned. Covers 4 of 6 tools.</t>
  </si>
  <si>
    <t xml:space="preserve">—</t>
  </si>
  <si>
    <t xml:space="preserve">BTT EBB36 CAN V1.2 (T4–T5)</t>
  </si>
  <si>
    <t xml:space="preserve">Variant: 'EBB 36' (no MAX31865)</t>
  </si>
  <si>
    <t xml:space="preserve">https://www.aliexpress.us/item/3256807670809484.html</t>
  </si>
  <si>
    <t xml:space="preserve">AliExpress list $36.37 (vs $19.99 at biqu.equipment). Your 2 spare EBB SB2209s do the same job: set Owned = Y.</t>
  </si>
  <si>
    <t xml:space="preserve">CAN cable (twisted pair + 24 V)</t>
  </si>
  <si>
    <t xml:space="preserve">~2 m</t>
  </si>
  <si>
    <t xml:space="preserve">https://www.aliexpress.us/w/wholesale-can-bus-cable-4-core-twisted.html</t>
  </si>
  <si>
    <t xml:space="preserve">No good AliExpress match found.</t>
  </si>
  <si>
    <t xml:space="preserve">Mean Well LRS-350-24 (24 V 14.6 A, 350 W)</t>
  </si>
  <si>
    <t xml:space="preserve">Dedicated hotend PSU</t>
  </si>
  <si>
    <t xml:space="preserve">https://www.mouser.com/ProductDetail/MEAN-WELL/LRS-350-24?qs=ah3jBNVE1PT%2BkwLcackrGA%3D%3D</t>
  </si>
  <si>
    <t xml:space="preserve">Mouser $32.10 (TRC $34.81). From an authorized distributor, not AliExpress.</t>
  </si>
  <si>
    <t xml:space="preserve">Authorized distributor – price verified</t>
  </si>
  <si>
    <t xml:space="preserve">Ferrule crimper + ferrule kit</t>
  </si>
  <si>
    <t xml:space="preserve">For PSU AC/DC wiring</t>
  </si>
  <si>
    <t xml:space="preserve">https://www.aliexpress.us/item/3256809851025256.html</t>
  </si>
  <si>
    <t xml:space="preserve">Skip if you have a crimper. Common DC − between the PSUs; earth both chassis.</t>
  </si>
  <si>
    <t xml:space="preserve">Nozzle offset calibration probe</t>
  </si>
  <si>
    <t xml:space="preserve">BTT Eddy (owned) or ball probe</t>
  </si>
  <si>
    <t xml:space="preserve">Owned.</t>
  </si>
  <si>
    <t xml:space="preserve">Printed parts filament (ABS/ASA)</t>
  </si>
  <si>
    <t xml:space="preserve">~0.6 kg</t>
  </si>
  <si>
    <t xml:space="preserve">https://www.aliexpress.us/w/wholesale-asa-filament-1kg.html</t>
  </si>
  <si>
    <t xml:space="preserve">Assumed owned.</t>
  </si>
  <si>
    <t xml:space="preserve">Total</t>
  </si>
  <si>
    <t xml:space="preserve">Sources</t>
  </si>
  <si>
    <t xml:space="preserve">CxChanger original repo + 5.5 BOM (quantities, ¥ prices)</t>
  </si>
  <si>
    <t xml:space="preserve">https://github.com/cx330-TXY/CxChanger</t>
  </si>
  <si>
    <t xml:space="preserve">CxChanger English translation (parts list, pin sizes)</t>
  </si>
  <si>
    <t xml:space="preserve">https://github.com/WheelsTheCat/CxChanger</t>
  </si>
  <si>
    <t xml:space="preserve">Trianglelab TZ-V6-2.0 hotend list price ($27)</t>
  </si>
  <si>
    <t xml:space="preserve">https://www.trianglelab.net/products/tz-v6-20-hotend</t>
  </si>
  <si>
    <t xml:space="preserve">AliExpress TZ 2.0 hotend listing</t>
  </si>
  <si>
    <t xml:space="preserve">https://www.aliexpress.com/item/1005005920817062.html</t>
  </si>
  <si>
    <t xml:space="preserve">AliExpress ceramic heater + thermistor listing</t>
  </si>
  <si>
    <t xml:space="preserve">https://www.aliexpress.us/item/3256807569217043.html</t>
  </si>
  <si>
    <t xml:space="preserve">AliExpress 36 mm pancake stepper listing</t>
  </si>
  <si>
    <t xml:space="preserve">https://www.aliexpress.us/item/3256804107613674.html</t>
  </si>
  <si>
    <t xml:space="preserve">AliExpress HGX gear set listing</t>
  </si>
  <si>
    <t xml:space="preserve">https://www.aliexpress.us/item/3256807033585974.html</t>
  </si>
  <si>
    <t xml:space="preserve">Mouser LRS-350-24 ($32.10, verified 2026-09-30)</t>
  </si>
  <si>
    <t xml:space="preserve">TRC Electronics LRS-350-24 ($34.81)</t>
  </si>
  <si>
    <t xml:space="preserve">https://www.trcelectronics.com/products/mean-well-lrs-350-24</t>
  </si>
  <si>
    <t xml:space="preserve">Trianglelab TZ 2.0 for Bambu ($45.99)</t>
  </si>
  <si>
    <t xml:space="preserve">https://trianglelab.net/products/tz-20-hotend-for-bambu-lab-x1-p1p</t>
  </si>
  <si>
    <t xml:space="preserve">BIQU EBB36/42 (from $19.99)</t>
  </si>
  <si>
    <t xml:space="preserve">https://biqu.equipment/products/bigtreetech-ebb36-42-can-bus-u2c-v2-1-klipper-board</t>
  </si>
  <si>
    <t xml:space="preserve">AliExpress EBB36 CAN V1.2 listing</t>
  </si>
  <si>
    <t xml:space="preserve">https://www.aliexpress.us/item/3256804056891440.html</t>
  </si>
  <si>
    <t xml:space="preserve">Upstream v6.11 changes (2026-09-29): new printhead 6.11 zip, dock 6.11 STEP, tool-change-failure + runout sensor</t>
  </si>
  <si>
    <t xml:space="preserve">https://github.com/cx330-TXY/CxChanger/commits/main</t>
  </si>
  <si>
    <t xml:space="preserve">Note: AliExpress blocks automated reads. AliExpress prices are estimates; verify in cart.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</si>
</sst>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0%"/>
    <numFmt numFmtId="167" formatCode="0.##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liexpress.us/item/3256808936360634.html" TargetMode="External"/><Relationship Id="rId2" Type="http://schemas.openxmlformats.org/officeDocument/2006/relationships/hyperlink" Target="https://www.aliexpress.us/item/3256801934742685.html" TargetMode="External"/><Relationship Id="rId3" Type="http://schemas.openxmlformats.org/officeDocument/2006/relationships/hyperlink" Target="https://www.aliexpress.us/item/3256806837028480.html" TargetMode="External"/><Relationship Id="rId4" Type="http://schemas.openxmlformats.org/officeDocument/2006/relationships/hyperlink" Target="https://www.aliexpress.us/item/3256806837028480.html" TargetMode="External"/><Relationship Id="rId5" Type="http://schemas.openxmlformats.org/officeDocument/2006/relationships/hyperlink" Target="https://www.aliexpress.us/w/wholesale-compression-spring-assortment.html" TargetMode="External"/><Relationship Id="rId6" Type="http://schemas.openxmlformats.org/officeDocument/2006/relationships/hyperlink" Target="https://www.aliexpress.us/item/3256808807952066.html" TargetMode="External"/><Relationship Id="rId7" Type="http://schemas.openxmlformats.org/officeDocument/2006/relationships/hyperlink" Target="https://www.aliexpress.us/item/2251832624516972.html" TargetMode="External"/><Relationship Id="rId8" Type="http://schemas.openxmlformats.org/officeDocument/2006/relationships/hyperlink" Target="https://www.aliexpress.us/item/2251832787493408.html" TargetMode="External"/><Relationship Id="rId9" Type="http://schemas.openxmlformats.org/officeDocument/2006/relationships/hyperlink" Target="https://www.aliexpress.us/item/3256805018062207.html" TargetMode="External"/><Relationship Id="rId10" Type="http://schemas.openxmlformats.org/officeDocument/2006/relationships/hyperlink" Target="https://www.aliexpress.us/item/3256808527324482.html" TargetMode="External"/><Relationship Id="rId11" Type="http://schemas.openxmlformats.org/officeDocument/2006/relationships/hyperlink" Target="https://www.aliexpress.us/item/3256807635919515.html" TargetMode="External"/><Relationship Id="rId12" Type="http://schemas.openxmlformats.org/officeDocument/2006/relationships/hyperlink" Target="https://www.aliexpress.us/w/wholesale-m2-m2.5-m3-socket-head-screw-kit.html" TargetMode="External"/><Relationship Id="rId13" Type="http://schemas.openxmlformats.org/officeDocument/2006/relationships/hyperlink" Target="https://www.aliexpress.us/item/2251832782727837.html" TargetMode="External"/><Relationship Id="rId14" Type="http://schemas.openxmlformats.org/officeDocument/2006/relationships/hyperlink" Target="https://www.aliexpress.us/item/3256810138806595.html" TargetMode="External"/><Relationship Id="rId15" Type="http://schemas.openxmlformats.org/officeDocument/2006/relationships/hyperlink" Target="https://www.aliexpress.us/w/wholesale-silicone-strip-10x2mm-adhesive.html" TargetMode="External"/><Relationship Id="rId16" Type="http://schemas.openxmlformats.org/officeDocument/2006/relationships/hyperlink" Target="https://jlccnc.com/" TargetMode="External"/><Relationship Id="rId17" Type="http://schemas.openxmlformats.org/officeDocument/2006/relationships/hyperlink" Target="https://www.aliexpress.us/item/3256806837028480.html" TargetMode="External"/><Relationship Id="rId18" Type="http://schemas.openxmlformats.org/officeDocument/2006/relationships/hyperlink" Target="https://www.aliexpress.us/w/wholesale-round-head-pin-3mm.html" TargetMode="External"/><Relationship Id="rId19" Type="http://schemas.openxmlformats.org/officeDocument/2006/relationships/hyperlink" Target="https://www.aliexpress.us/w/wholesale-m3-internal-thread-round-head-pin-5mm.html" TargetMode="External"/><Relationship Id="rId20" Type="http://schemas.openxmlformats.org/officeDocument/2006/relationships/hyperlink" Target="https://www.aliexpress.us/item/3256809533301082.html" TargetMode="External"/><Relationship Id="rId21" Type="http://schemas.openxmlformats.org/officeDocument/2006/relationships/hyperlink" Target="https://www.aliexpress.us/item/3256805693063078.html" TargetMode="External"/><Relationship Id="rId22" Type="http://schemas.openxmlformats.org/officeDocument/2006/relationships/hyperlink" Target="https://www.aliexpress.us/item/2251832624516972.html" TargetMode="External"/><Relationship Id="rId23" Type="http://schemas.openxmlformats.org/officeDocument/2006/relationships/hyperlink" Target="https://www.aliexpress.us/item/2251832837457300.html" TargetMode="External"/><Relationship Id="rId24" Type="http://schemas.openxmlformats.org/officeDocument/2006/relationships/hyperlink" Target="https://www.aliexpress.us/item/3256805875155396.html" TargetMode="External"/><Relationship Id="rId25" Type="http://schemas.openxmlformats.org/officeDocument/2006/relationships/hyperlink" Target="https://www.aliexpress.us/item/3256808485891466.html" TargetMode="External"/><Relationship Id="rId26" Type="http://schemas.openxmlformats.org/officeDocument/2006/relationships/hyperlink" Target="https://www.aliexpress.us/item/3256808316755061.html" TargetMode="External"/><Relationship Id="rId27" Type="http://schemas.openxmlformats.org/officeDocument/2006/relationships/hyperlink" Target="https://www.aliexpress.us/item/2255800968230040.html" TargetMode="External"/><Relationship Id="rId28" Type="http://schemas.openxmlformats.org/officeDocument/2006/relationships/hyperlink" Target="https://www.aliexpress.us/item/3256802961371687.html" TargetMode="External"/><Relationship Id="rId29" Type="http://schemas.openxmlformats.org/officeDocument/2006/relationships/hyperlink" Target="https://www.aliexpress.us/item/3256804674205585.html" TargetMode="External"/><Relationship Id="rId30" Type="http://schemas.openxmlformats.org/officeDocument/2006/relationships/hyperlink" Target="https://www.aliexpress.us/w/wholesale-ptfe-tube-2x4mm-5m.html" TargetMode="External"/><Relationship Id="rId31" Type="http://schemas.openxmlformats.org/officeDocument/2006/relationships/hyperlink" Target="https://www.aliexpress.us/item/3256809971210588.html" TargetMode="External"/><Relationship Id="rId32" Type="http://schemas.openxmlformats.org/officeDocument/2006/relationships/hyperlink" Target="https://www.aliexpress.us/item/3256807670809484.html" TargetMode="External"/><Relationship Id="rId33" Type="http://schemas.openxmlformats.org/officeDocument/2006/relationships/hyperlink" Target="https://www.aliexpress.us/w/wholesale-can-bus-cable-4-core-twisted.html" TargetMode="External"/><Relationship Id="rId34" Type="http://schemas.openxmlformats.org/officeDocument/2006/relationships/hyperlink" Target="https://www.mouser.com/ProductDetail/MEAN-WELL/LRS-350-24?qs=ah3jBNVE1PT%2BkwLcackrGA%3D%3D" TargetMode="External"/><Relationship Id="rId35" Type="http://schemas.openxmlformats.org/officeDocument/2006/relationships/hyperlink" Target="https://www.aliexpress.us/item/3256809851025256.html" TargetMode="External"/><Relationship Id="rId36" Type="http://schemas.openxmlformats.org/officeDocument/2006/relationships/hyperlink" Target="https://www.aliexpress.us/w/wholesale-asa-filament-1kg.html" TargetMode="External"/><Relationship Id="rId37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cx330-TXY/CxChanger" TargetMode="External"/><Relationship Id="rId2" Type="http://schemas.openxmlformats.org/officeDocument/2006/relationships/hyperlink" Target="https://github.com/WheelsTheCat/CxChanger" TargetMode="External"/><Relationship Id="rId3" Type="http://schemas.openxmlformats.org/officeDocument/2006/relationships/hyperlink" Target="https://www.trianglelab.net/products/tz-v6-20-hotend" TargetMode="External"/><Relationship Id="rId4" Type="http://schemas.openxmlformats.org/officeDocument/2006/relationships/hyperlink" Target="https://www.aliexpress.com/item/1005005920817062.html" TargetMode="External"/><Relationship Id="rId5" Type="http://schemas.openxmlformats.org/officeDocument/2006/relationships/hyperlink" Target="https://www.aliexpress.us/item/3256807569217043.html" TargetMode="External"/><Relationship Id="rId6" Type="http://schemas.openxmlformats.org/officeDocument/2006/relationships/hyperlink" Target="https://www.aliexpress.us/item/3256804107613674.html" TargetMode="External"/><Relationship Id="rId7" Type="http://schemas.openxmlformats.org/officeDocument/2006/relationships/hyperlink" Target="https://www.aliexpress.us/item/3256807033585974.html" TargetMode="External"/><Relationship Id="rId8" Type="http://schemas.openxmlformats.org/officeDocument/2006/relationships/hyperlink" Target="https://www.mouser.com/ProductDetail/MEAN-WELL/LRS-350-24?qs=ah3jBNVE1PT%2BkwLcackrGA%3D%3D" TargetMode="External"/><Relationship Id="rId9" Type="http://schemas.openxmlformats.org/officeDocument/2006/relationships/hyperlink" Target="https://www.trcelectronics.com/products/mean-well-lrs-350-24" TargetMode="External"/><Relationship Id="rId10" Type="http://schemas.openxmlformats.org/officeDocument/2006/relationships/hyperlink" Target="https://trianglelab.net/products/tz-20-hotend-for-bambu-lab-x1-p1p" TargetMode="External"/><Relationship Id="rId11" Type="http://schemas.openxmlformats.org/officeDocument/2006/relationships/hyperlink" Target="https://biqu.equipment/products/bigtreetech-ebb36-42-can-bus-u2c-v2-1-klipper-board" TargetMode="External"/><Relationship Id="rId12" Type="http://schemas.openxmlformats.org/officeDocument/2006/relationships/hyperlink" Target="https://www.aliexpress.us/item/3256804056891440.html" TargetMode="External"/><Relationship Id="rId13" Type="http://schemas.openxmlformats.org/officeDocument/2006/relationships/hyperlink" Target="https://github.com/cx330-TXY/CxChanger/commits/ma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"Tools: "&amp;Assumptions!B4&amp;"  |  Printer: Voron 2.4 350  |  Sources: AliExpress + Mouser (see status column)"</f>
        <v>Tools: 6  |  Printer: Voron 2.4 350  |  Sources: AliExpress + Mouser (see status column)</v>
      </c>
    </row>
    <row r="4" customFormat="false" ht="15" hidden="false" customHeight="false" outlineLevel="0" collapsed="false">
      <c r="A4" s="3" t="s">
        <v>1</v>
      </c>
      <c r="B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SUMIF(BOM!$B$5:$B$42,A5,BOM!$J$5:$J$42)</f>
        <v>68.44</v>
      </c>
    </row>
    <row r="6" customFormat="false" ht="15" hidden="false" customHeight="false" outlineLevel="0" collapsed="false">
      <c r="A6" s="4" t="s">
        <v>4</v>
      </c>
      <c r="B6" s="5" t="n">
        <f aca="false">SUMIF(BOM!$B$5:$B$42,A6,BOM!$J$5:$J$42)</f>
        <v>31.06</v>
      </c>
    </row>
    <row r="7" customFormat="false" ht="15" hidden="false" customHeight="false" outlineLevel="0" collapsed="false">
      <c r="A7" s="4" t="s">
        <v>5</v>
      </c>
      <c r="B7" s="5" t="n">
        <f aca="false">SUMIF(BOM!$B$5:$B$42,A7,BOM!$J$5:$J$42)</f>
        <v>222.34</v>
      </c>
    </row>
    <row r="8" customFormat="false" ht="15" hidden="false" customHeight="false" outlineLevel="0" collapsed="false">
      <c r="A8" s="4" t="s">
        <v>6</v>
      </c>
      <c r="B8" s="5" t="n">
        <f aca="false">SUMIF(BOM!$B$5:$B$42,A8,BOM!$J$5:$J$42)</f>
        <v>126.86</v>
      </c>
    </row>
    <row r="9" customFormat="false" ht="15" hidden="false" customHeight="false" outlineLevel="0" collapsed="false">
      <c r="A9" s="4" t="s">
        <v>7</v>
      </c>
      <c r="B9" s="5" t="n">
        <f aca="false">SUMIF(BOM!$B$5:$B$42,A9,BOM!$J$5:$J$42)</f>
        <v>0</v>
      </c>
    </row>
    <row r="10" customFormat="false" ht="15" hidden="false" customHeight="false" outlineLevel="0" collapsed="false">
      <c r="A10" s="6" t="s">
        <v>8</v>
      </c>
      <c r="B10" s="7" t="n">
        <f aca="false">SUM(B5:B9)</f>
        <v>448.7</v>
      </c>
    </row>
    <row r="11" customFormat="false" ht="15" hidden="false" customHeight="false" outlineLevel="0" collapsed="false">
      <c r="A11" s="4" t="s">
        <v>9</v>
      </c>
      <c r="B11" s="8" t="n">
        <f aca="false">Assumptions!B6</f>
        <v>15</v>
      </c>
    </row>
    <row r="12" customFormat="false" ht="15" hidden="false" customHeight="false" outlineLevel="0" collapsed="false">
      <c r="A12" s="4" t="s">
        <v>10</v>
      </c>
      <c r="B12" s="8" t="n">
        <f aca="false">B10*Assumptions!B7</f>
        <v>43.74825</v>
      </c>
    </row>
    <row r="13" customFormat="false" ht="15" hidden="false" customHeight="false" outlineLevel="0" collapsed="false">
      <c r="A13" s="4" t="s">
        <v>11</v>
      </c>
      <c r="B13" s="8" t="n">
        <f aca="false">B10*Assumptions!B8</f>
        <v>44.87</v>
      </c>
    </row>
    <row r="14" customFormat="false" ht="15" hidden="false" customHeight="false" outlineLevel="0" collapsed="false">
      <c r="A14" s="4" t="s">
        <v>12</v>
      </c>
      <c r="B14" s="8" t="n">
        <f aca="false">(B10+B11)*Assumptions!B9</f>
        <v>46.37</v>
      </c>
    </row>
    <row r="15" customFormat="false" ht="15" hidden="false" customHeight="false" outlineLevel="0" collapsed="false">
      <c r="A15" s="6" t="s">
        <v>13</v>
      </c>
      <c r="B15" s="7" t="n">
        <f aca="false">SUM(B10:B14)</f>
        <v>598.68825</v>
      </c>
    </row>
    <row r="16" customFormat="false" ht="15" hidden="false" customHeight="false" outlineLevel="0" collapsed="false">
      <c r="A16" s="4" t="s">
        <v>14</v>
      </c>
      <c r="B16" s="8" t="n">
        <f aca="false">Assumptions!B10</f>
        <v>800</v>
      </c>
    </row>
    <row r="17" customFormat="false" ht="15" hidden="false" customHeight="false" outlineLevel="0" collapsed="false">
      <c r="A17" s="6" t="s">
        <v>15</v>
      </c>
      <c r="B17" s="7" t="n">
        <f aca="false">B16-B15</f>
        <v>201.31175</v>
      </c>
    </row>
    <row r="18" customFormat="false" ht="15" hidden="false" customHeight="false" outlineLevel="0" collapsed="false">
      <c r="A18" s="4" t="s">
        <v>16</v>
      </c>
      <c r="B18" s="5" t="n">
        <f aca="false">B7/Assumptions!B4</f>
        <v>37.0566666666667</v>
      </c>
    </row>
    <row r="20" customFormat="false" ht="15" hidden="false" customHeight="false" outlineLevel="0" collapsed="false">
      <c r="A20" s="6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 t="s">
        <v>20</v>
      </c>
    </row>
    <row r="24" customFormat="false" ht="15" hidden="false" customHeight="false" outlineLevel="0" collapsed="false">
      <c r="A24" s="4" t="s">
        <v>21</v>
      </c>
    </row>
    <row r="25" customFormat="false" ht="15" hidden="false" customHeight="false" outlineLevel="0" collapsed="false">
      <c r="A25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</row>
    <row r="4" customFormat="false" ht="15" hidden="false" customHeight="false" outlineLevel="0" collapsed="false">
      <c r="A4" s="4" t="s">
        <v>27</v>
      </c>
      <c r="B4" s="9" t="n">
        <v>6</v>
      </c>
      <c r="C4" s="2" t="s">
        <v>28</v>
      </c>
    </row>
    <row r="5" customFormat="false" ht="15" hidden="false" customHeight="false" outlineLevel="0" collapsed="false">
      <c r="A5" s="4" t="s">
        <v>29</v>
      </c>
      <c r="B5" s="9" t="s">
        <v>30</v>
      </c>
      <c r="C5" s="2" t="s">
        <v>31</v>
      </c>
    </row>
    <row r="6" customFormat="false" ht="15" hidden="false" customHeight="false" outlineLevel="0" collapsed="false">
      <c r="A6" s="4" t="s">
        <v>32</v>
      </c>
      <c r="B6" s="10" t="n">
        <v>15</v>
      </c>
      <c r="C6" s="2" t="s">
        <v>33</v>
      </c>
    </row>
    <row r="7" customFormat="false" ht="15" hidden="false" customHeight="false" outlineLevel="0" collapsed="false">
      <c r="A7" s="4" t="s">
        <v>34</v>
      </c>
      <c r="B7" s="11" t="n">
        <v>0.0975</v>
      </c>
      <c r="C7" s="2" t="s">
        <v>35</v>
      </c>
    </row>
    <row r="8" customFormat="false" ht="15" hidden="false" customHeight="false" outlineLevel="0" collapsed="false">
      <c r="A8" s="4" t="s">
        <v>36</v>
      </c>
      <c r="B8" s="11" t="n">
        <v>0.1</v>
      </c>
      <c r="C8" s="2" t="s">
        <v>37</v>
      </c>
    </row>
    <row r="9" customFormat="false" ht="15" hidden="false" customHeight="false" outlineLevel="0" collapsed="false">
      <c r="A9" s="4" t="s">
        <v>38</v>
      </c>
      <c r="B9" s="11" t="n">
        <v>0.1</v>
      </c>
      <c r="C9" s="2" t="s">
        <v>39</v>
      </c>
    </row>
    <row r="10" customFormat="false" ht="15" hidden="false" customHeight="false" outlineLevel="0" collapsed="false">
      <c r="A10" s="4" t="s">
        <v>40</v>
      </c>
      <c r="B10" s="10" t="n">
        <v>800</v>
      </c>
      <c r="C10" s="2" t="s">
        <v>41</v>
      </c>
    </row>
    <row r="13" customFormat="false" ht="15" hidden="false" customHeight="false" outlineLevel="0" collapsed="false">
      <c r="A13" s="6" t="s">
        <v>42</v>
      </c>
    </row>
    <row r="14" customFormat="false" ht="15" hidden="false" customHeight="false" outlineLevel="0" collapsed="false">
      <c r="A14" s="4" t="s">
        <v>43</v>
      </c>
    </row>
    <row r="15" customFormat="false" ht="15" hidden="false" customHeight="false" outlineLevel="0" collapsed="false">
      <c r="A15" s="4" t="s">
        <v>44</v>
      </c>
    </row>
    <row r="16" customFormat="false" ht="15" hidden="false" customHeight="false" outlineLevel="0" collapsed="false">
      <c r="A16" s="4" t="s">
        <v>45</v>
      </c>
    </row>
    <row r="17" customFormat="false" ht="15" hidden="false" customHeight="false" outlineLevel="0" collapsed="false">
      <c r="A17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2" min="12" style="0" width="60"/>
    <col collapsed="false" customWidth="true" hidden="false" outlineLevel="0" max="13" min="13" style="0" width="28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52.2" hidden="false" customHeight="false" outlineLevel="0" collapsed="false">
      <c r="A4" s="12" t="s">
        <v>49</v>
      </c>
      <c r="B4" s="12" t="s">
        <v>1</v>
      </c>
      <c r="C4" s="12" t="s">
        <v>50</v>
      </c>
      <c r="D4" s="12" t="s">
        <v>51</v>
      </c>
      <c r="E4" s="12" t="s">
        <v>52</v>
      </c>
      <c r="F4" s="12" t="s">
        <v>53</v>
      </c>
      <c r="G4" s="12" t="s">
        <v>54</v>
      </c>
      <c r="H4" s="12" t="s">
        <v>55</v>
      </c>
      <c r="I4" s="12" t="s">
        <v>56</v>
      </c>
      <c r="J4" s="12" t="s">
        <v>57</v>
      </c>
      <c r="K4" s="12" t="s">
        <v>58</v>
      </c>
      <c r="L4" s="12" t="s">
        <v>59</v>
      </c>
      <c r="M4" s="12" t="s">
        <v>60</v>
      </c>
      <c r="N4" s="12" t="s">
        <v>61</v>
      </c>
    </row>
    <row r="5" customFormat="false" ht="39.55" hidden="false" customHeight="false" outlineLevel="0" collapsed="false">
      <c r="A5" s="13" t="n">
        <v>1</v>
      </c>
      <c r="B5" s="13" t="s">
        <v>3</v>
      </c>
      <c r="C5" s="14" t="s">
        <v>62</v>
      </c>
      <c r="D5" s="14" t="s">
        <v>63</v>
      </c>
      <c r="E5" s="15" t="n">
        <v>1</v>
      </c>
      <c r="F5" s="16" t="n">
        <v>1</v>
      </c>
      <c r="G5" s="13" t="n">
        <f aca="false">IF(E5=0,0,ROUNDUP(E5/F5,0))</f>
        <v>1</v>
      </c>
      <c r="H5" s="17" t="n">
        <v>6.95</v>
      </c>
      <c r="I5" s="18" t="s">
        <v>30</v>
      </c>
      <c r="J5" s="19" t="n">
        <f aca="false">IF(UPPER(I5)="Y",0,G5*H5)</f>
        <v>6.95</v>
      </c>
      <c r="K5" s="20" t="s">
        <v>64</v>
      </c>
      <c r="L5" s="14" t="s">
        <v>65</v>
      </c>
      <c r="M5" s="13" t="s">
        <v>66</v>
      </c>
      <c r="N5" s="19" t="n">
        <v>1.09</v>
      </c>
    </row>
    <row r="6" customFormat="false" ht="15" hidden="false" customHeight="false" outlineLevel="0" collapsed="false">
      <c r="A6" s="13" t="n">
        <v>2</v>
      </c>
      <c r="B6" s="13" t="s">
        <v>3</v>
      </c>
      <c r="C6" s="14" t="s">
        <v>67</v>
      </c>
      <c r="D6" s="14" t="s">
        <v>68</v>
      </c>
      <c r="E6" s="15" t="n">
        <v>4</v>
      </c>
      <c r="F6" s="16" t="n">
        <v>10</v>
      </c>
      <c r="G6" s="13" t="n">
        <f aca="false">IF(E6=0,0,ROUNDUP(E6/F6,0))</f>
        <v>1</v>
      </c>
      <c r="H6" s="17" t="n">
        <v>4.01</v>
      </c>
      <c r="I6" s="18" t="s">
        <v>30</v>
      </c>
      <c r="J6" s="19" t="n">
        <f aca="false">IF(UPPER(I6)="Y",0,G6*H6)</f>
        <v>4.01</v>
      </c>
      <c r="K6" s="20" t="s">
        <v>69</v>
      </c>
      <c r="L6" s="14" t="s">
        <v>70</v>
      </c>
      <c r="M6" s="13" t="s">
        <v>71</v>
      </c>
      <c r="N6" s="19" t="n">
        <v>1.09</v>
      </c>
    </row>
    <row r="7" customFormat="false" ht="26.85" hidden="false" customHeight="false" outlineLevel="0" collapsed="false">
      <c r="A7" s="13" t="n">
        <v>3</v>
      </c>
      <c r="B7" s="13" t="s">
        <v>3</v>
      </c>
      <c r="C7" s="14" t="s">
        <v>72</v>
      </c>
      <c r="D7" s="14" t="s">
        <v>73</v>
      </c>
      <c r="E7" s="15" t="n">
        <v>2</v>
      </c>
      <c r="F7" s="16" t="n">
        <v>20</v>
      </c>
      <c r="G7" s="13" t="n">
        <f aca="false">IF(E7=0,0,ROUNDUP(E7/F7,0))</f>
        <v>1</v>
      </c>
      <c r="H7" s="17" t="n">
        <v>1.9</v>
      </c>
      <c r="I7" s="18" t="s">
        <v>30</v>
      </c>
      <c r="J7" s="19" t="n">
        <f aca="false">IF(UPPER(I7)="Y",0,G7*H7)</f>
        <v>1.9</v>
      </c>
      <c r="K7" s="20" t="s">
        <v>74</v>
      </c>
      <c r="L7" s="14" t="s">
        <v>75</v>
      </c>
      <c r="M7" s="13" t="s">
        <v>76</v>
      </c>
      <c r="N7" s="19" t="n">
        <v>1.09</v>
      </c>
    </row>
    <row r="8" customFormat="false" ht="15" hidden="false" customHeight="false" outlineLevel="0" collapsed="false">
      <c r="A8" s="13" t="n">
        <v>4</v>
      </c>
      <c r="B8" s="13" t="s">
        <v>3</v>
      </c>
      <c r="C8" s="14" t="s">
        <v>77</v>
      </c>
      <c r="D8" s="14" t="s">
        <v>78</v>
      </c>
      <c r="E8" s="15" t="n">
        <v>1</v>
      </c>
      <c r="F8" s="16" t="n">
        <v>20</v>
      </c>
      <c r="G8" s="13" t="n">
        <f aca="false">IF(E8=0,0,ROUNDUP(E8/F8,0))</f>
        <v>1</v>
      </c>
      <c r="H8" s="17" t="n">
        <v>1.9</v>
      </c>
      <c r="I8" s="18" t="s">
        <v>30</v>
      </c>
      <c r="J8" s="19" t="n">
        <f aca="false">IF(UPPER(I8)="Y",0,G8*H8)</f>
        <v>1.9</v>
      </c>
      <c r="K8" s="20" t="s">
        <v>74</v>
      </c>
      <c r="L8" s="14" t="s">
        <v>79</v>
      </c>
      <c r="M8" s="13" t="s">
        <v>76</v>
      </c>
      <c r="N8" s="19" t="n">
        <v>1.09</v>
      </c>
    </row>
    <row r="9" customFormat="false" ht="15" hidden="false" customHeight="false" outlineLevel="0" collapsed="false">
      <c r="A9" s="13" t="n">
        <v>5</v>
      </c>
      <c r="B9" s="13" t="s">
        <v>3</v>
      </c>
      <c r="C9" s="14" t="s">
        <v>80</v>
      </c>
      <c r="D9" s="14" t="s">
        <v>81</v>
      </c>
      <c r="E9" s="15" t="n">
        <v>1</v>
      </c>
      <c r="F9" s="16" t="n">
        <v>1</v>
      </c>
      <c r="G9" s="13" t="n">
        <f aca="false">IF(E9=0,0,ROUNDUP(E9/F9,0))</f>
        <v>1</v>
      </c>
      <c r="H9" s="17" t="n">
        <v>3</v>
      </c>
      <c r="I9" s="18" t="s">
        <v>30</v>
      </c>
      <c r="J9" s="19" t="n">
        <f aca="false">IF(UPPER(I9)="Y",0,G9*H9)</f>
        <v>3</v>
      </c>
      <c r="K9" s="20" t="s">
        <v>82</v>
      </c>
      <c r="L9" s="14" t="s">
        <v>83</v>
      </c>
      <c r="M9" s="13" t="s">
        <v>84</v>
      </c>
      <c r="N9" s="19"/>
    </row>
    <row r="10" customFormat="false" ht="52.2" hidden="false" customHeight="false" outlineLevel="0" collapsed="false">
      <c r="A10" s="13" t="n">
        <v>6</v>
      </c>
      <c r="B10" s="13" t="s">
        <v>3</v>
      </c>
      <c r="C10" s="14" t="s">
        <v>85</v>
      </c>
      <c r="D10" s="14" t="s">
        <v>86</v>
      </c>
      <c r="E10" s="15" t="n">
        <v>1</v>
      </c>
      <c r="F10" s="16" t="n">
        <v>1</v>
      </c>
      <c r="G10" s="13" t="n">
        <f aca="false">IF(E10=0,0,ROUNDUP(E10/F10,0))</f>
        <v>1</v>
      </c>
      <c r="H10" s="17" t="n">
        <v>8.85</v>
      </c>
      <c r="I10" s="18" t="s">
        <v>30</v>
      </c>
      <c r="J10" s="19" t="n">
        <f aca="false">IF(UPPER(I10)="Y",0,G10*H10)</f>
        <v>8.85</v>
      </c>
      <c r="K10" s="20" t="s">
        <v>87</v>
      </c>
      <c r="L10" s="14" t="s">
        <v>88</v>
      </c>
      <c r="M10" s="13" t="s">
        <v>89</v>
      </c>
      <c r="N10" s="19" t="n">
        <v>1.09</v>
      </c>
    </row>
    <row r="11" customFormat="false" ht="15" hidden="false" customHeight="false" outlineLevel="0" collapsed="false">
      <c r="A11" s="13" t="n">
        <v>7</v>
      </c>
      <c r="B11" s="13" t="s">
        <v>3</v>
      </c>
      <c r="C11" s="14" t="s">
        <v>90</v>
      </c>
      <c r="D11" s="14" t="s">
        <v>91</v>
      </c>
      <c r="E11" s="15" t="n">
        <v>1</v>
      </c>
      <c r="F11" s="16" t="n">
        <v>1</v>
      </c>
      <c r="G11" s="13" t="n">
        <f aca="false">IF(E11=0,0,ROUNDUP(E11/F11,0))</f>
        <v>1</v>
      </c>
      <c r="H11" s="17" t="n">
        <v>0.87</v>
      </c>
      <c r="I11" s="18" t="s">
        <v>30</v>
      </c>
      <c r="J11" s="19" t="n">
        <f aca="false">IF(UPPER(I11)="Y",0,G11*H11)</f>
        <v>0.87</v>
      </c>
      <c r="K11" s="20" t="s">
        <v>92</v>
      </c>
      <c r="L11" s="14" t="s">
        <v>93</v>
      </c>
      <c r="M11" s="13" t="s">
        <v>66</v>
      </c>
      <c r="N11" s="19"/>
    </row>
    <row r="12" customFormat="false" ht="15" hidden="false" customHeight="false" outlineLevel="0" collapsed="false">
      <c r="A12" s="13" t="n">
        <v>8</v>
      </c>
      <c r="B12" s="13" t="s">
        <v>3</v>
      </c>
      <c r="C12" s="14" t="s">
        <v>94</v>
      </c>
      <c r="D12" s="14" t="s">
        <v>95</v>
      </c>
      <c r="E12" s="15" t="n">
        <v>1</v>
      </c>
      <c r="F12" s="16" t="n">
        <v>1</v>
      </c>
      <c r="G12" s="13" t="n">
        <f aca="false">IF(E12=0,0,ROUNDUP(E12/F12,0))</f>
        <v>1</v>
      </c>
      <c r="H12" s="17" t="n">
        <v>3.27</v>
      </c>
      <c r="I12" s="18" t="s">
        <v>30</v>
      </c>
      <c r="J12" s="19" t="n">
        <f aca="false">IF(UPPER(I12)="Y",0,G12*H12)</f>
        <v>3.27</v>
      </c>
      <c r="K12" s="20" t="s">
        <v>96</v>
      </c>
      <c r="L12" s="14" t="s">
        <v>97</v>
      </c>
      <c r="M12" s="13" t="s">
        <v>66</v>
      </c>
      <c r="N12" s="19" t="n">
        <v>1.09</v>
      </c>
    </row>
    <row r="13" customFormat="false" ht="26.85" hidden="false" customHeight="false" outlineLevel="0" collapsed="false">
      <c r="A13" s="13" t="n">
        <v>9</v>
      </c>
      <c r="B13" s="13" t="s">
        <v>3</v>
      </c>
      <c r="C13" s="14" t="s">
        <v>98</v>
      </c>
      <c r="D13" s="14" t="s">
        <v>99</v>
      </c>
      <c r="E13" s="15" t="n">
        <v>2</v>
      </c>
      <c r="F13" s="16" t="n">
        <v>1</v>
      </c>
      <c r="G13" s="13" t="n">
        <f aca="false">IF(E13=0,0,ROUNDUP(E13/F13,0))</f>
        <v>2</v>
      </c>
      <c r="H13" s="17" t="n">
        <v>0.84</v>
      </c>
      <c r="I13" s="18" t="s">
        <v>30</v>
      </c>
      <c r="J13" s="19" t="n">
        <f aca="false">IF(UPPER(I13)="Y",0,G13*H13)</f>
        <v>1.68</v>
      </c>
      <c r="K13" s="20" t="s">
        <v>100</v>
      </c>
      <c r="L13" s="14" t="s">
        <v>101</v>
      </c>
      <c r="M13" s="13" t="s">
        <v>66</v>
      </c>
      <c r="N13" s="19"/>
    </row>
    <row r="14" customFormat="false" ht="26.85" hidden="false" customHeight="false" outlineLevel="0" collapsed="false">
      <c r="A14" s="13" t="n">
        <v>10</v>
      </c>
      <c r="B14" s="13" t="s">
        <v>3</v>
      </c>
      <c r="C14" s="14" t="s">
        <v>102</v>
      </c>
      <c r="D14" s="14" t="s">
        <v>103</v>
      </c>
      <c r="E14" s="15" t="n">
        <v>1</v>
      </c>
      <c r="F14" s="16" t="n">
        <v>1</v>
      </c>
      <c r="G14" s="13" t="n">
        <f aca="false">IF(E14=0,0,ROUNDUP(E14/F14,0))</f>
        <v>1</v>
      </c>
      <c r="H14" s="17" t="n">
        <v>7.58</v>
      </c>
      <c r="I14" s="18" t="s">
        <v>30</v>
      </c>
      <c r="J14" s="19" t="n">
        <f aca="false">IF(UPPER(I14)="Y",0,G14*H14)</f>
        <v>7.58</v>
      </c>
      <c r="K14" s="20" t="s">
        <v>104</v>
      </c>
      <c r="L14" s="14" t="s">
        <v>105</v>
      </c>
      <c r="M14" s="13" t="s">
        <v>76</v>
      </c>
      <c r="N14" s="19" t="n">
        <v>1.09</v>
      </c>
    </row>
    <row r="15" customFormat="false" ht="26.85" hidden="false" customHeight="false" outlineLevel="0" collapsed="false">
      <c r="A15" s="13" t="n">
        <v>11</v>
      </c>
      <c r="B15" s="13" t="s">
        <v>3</v>
      </c>
      <c r="C15" s="14" t="s">
        <v>106</v>
      </c>
      <c r="D15" s="14" t="s">
        <v>107</v>
      </c>
      <c r="E15" s="15" t="n">
        <v>1</v>
      </c>
      <c r="F15" s="16" t="n">
        <v>1</v>
      </c>
      <c r="G15" s="13" t="n">
        <f aca="false">IF(E15=0,0,ROUNDUP(E15/F15,0))</f>
        <v>1</v>
      </c>
      <c r="H15" s="17" t="n">
        <v>1.62</v>
      </c>
      <c r="I15" s="18" t="s">
        <v>30</v>
      </c>
      <c r="J15" s="19" t="n">
        <f aca="false">IF(UPPER(I15)="Y",0,G15*H15)</f>
        <v>1.62</v>
      </c>
      <c r="K15" s="20" t="s">
        <v>108</v>
      </c>
      <c r="L15" s="14" t="s">
        <v>109</v>
      </c>
      <c r="M15" s="13" t="s">
        <v>76</v>
      </c>
      <c r="N15" s="19" t="n">
        <v>1.09</v>
      </c>
    </row>
    <row r="16" customFormat="false" ht="15" hidden="false" customHeight="false" outlineLevel="0" collapsed="false">
      <c r="A16" s="13" t="n">
        <v>12</v>
      </c>
      <c r="B16" s="13" t="s">
        <v>3</v>
      </c>
      <c r="C16" s="14" t="s">
        <v>110</v>
      </c>
      <c r="D16" s="14" t="s">
        <v>111</v>
      </c>
      <c r="E16" s="15" t="n">
        <v>1</v>
      </c>
      <c r="F16" s="16" t="n">
        <v>1</v>
      </c>
      <c r="G16" s="13" t="n">
        <f aca="false">IF(E16=0,0,ROUNDUP(E16/F16,0))</f>
        <v>1</v>
      </c>
      <c r="H16" s="17" t="n">
        <v>10</v>
      </c>
      <c r="I16" s="18" t="s">
        <v>30</v>
      </c>
      <c r="J16" s="19" t="n">
        <f aca="false">IF(UPPER(I16)="Y",0,G16*H16)</f>
        <v>10</v>
      </c>
      <c r="K16" s="20" t="s">
        <v>112</v>
      </c>
      <c r="L16" s="14" t="s">
        <v>113</v>
      </c>
      <c r="M16" s="13" t="s">
        <v>84</v>
      </c>
      <c r="N16" s="19"/>
    </row>
    <row r="17" customFormat="false" ht="15" hidden="false" customHeight="false" outlineLevel="0" collapsed="false">
      <c r="A17" s="13" t="n">
        <v>13</v>
      </c>
      <c r="B17" s="13" t="s">
        <v>3</v>
      </c>
      <c r="C17" s="14" t="s">
        <v>114</v>
      </c>
      <c r="D17" s="14" t="s">
        <v>115</v>
      </c>
      <c r="E17" s="15" t="n">
        <v>7</v>
      </c>
      <c r="F17" s="16" t="n">
        <v>50</v>
      </c>
      <c r="G17" s="13" t="n">
        <f aca="false">IF(E17=0,0,ROUNDUP(E17/F17,0))</f>
        <v>1</v>
      </c>
      <c r="H17" s="17" t="n">
        <v>2.44</v>
      </c>
      <c r="I17" s="18" t="s">
        <v>30</v>
      </c>
      <c r="J17" s="19" t="n">
        <f aca="false">IF(UPPER(I17)="Y",0,G17*H17)</f>
        <v>2.44</v>
      </c>
      <c r="K17" s="20" t="s">
        <v>116</v>
      </c>
      <c r="L17" s="14" t="s">
        <v>117</v>
      </c>
      <c r="M17" s="13" t="s">
        <v>66</v>
      </c>
      <c r="N17" s="19" t="n">
        <v>1.09</v>
      </c>
    </row>
    <row r="18" customFormat="false" ht="15" hidden="false" customHeight="false" outlineLevel="0" collapsed="false">
      <c r="A18" s="13" t="n">
        <v>14</v>
      </c>
      <c r="B18" s="13" t="s">
        <v>3</v>
      </c>
      <c r="C18" s="14" t="s">
        <v>118</v>
      </c>
      <c r="D18" s="14" t="s">
        <v>119</v>
      </c>
      <c r="E18" s="15" t="n">
        <v>20</v>
      </c>
      <c r="F18" s="16" t="n">
        <v>100</v>
      </c>
      <c r="G18" s="13" t="n">
        <f aca="false">IF(E18=0,0,ROUNDUP(E18/F18,0))</f>
        <v>1</v>
      </c>
      <c r="H18" s="17" t="n">
        <v>10.37</v>
      </c>
      <c r="I18" s="18" t="s">
        <v>30</v>
      </c>
      <c r="J18" s="19" t="n">
        <f aca="false">IF(UPPER(I18)="Y",0,G18*H18)</f>
        <v>10.37</v>
      </c>
      <c r="K18" s="20" t="s">
        <v>120</v>
      </c>
      <c r="L18" s="14" t="s">
        <v>121</v>
      </c>
      <c r="M18" s="13" t="s">
        <v>66</v>
      </c>
      <c r="N18" s="19" t="n">
        <v>1.09</v>
      </c>
    </row>
    <row r="19" customFormat="false" ht="26.85" hidden="false" customHeight="false" outlineLevel="0" collapsed="false">
      <c r="A19" s="13" t="n">
        <v>15</v>
      </c>
      <c r="B19" s="13" t="s">
        <v>3</v>
      </c>
      <c r="C19" s="14" t="s">
        <v>122</v>
      </c>
      <c r="D19" s="14" t="s">
        <v>123</v>
      </c>
      <c r="E19" s="15" t="n">
        <v>1</v>
      </c>
      <c r="F19" s="16" t="n">
        <v>1</v>
      </c>
      <c r="G19" s="13" t="n">
        <f aca="false">IF(E19=0,0,ROUNDUP(E19/F19,0))</f>
        <v>1</v>
      </c>
      <c r="H19" s="17" t="n">
        <v>4</v>
      </c>
      <c r="I19" s="18" t="s">
        <v>30</v>
      </c>
      <c r="J19" s="19" t="n">
        <f aca="false">IF(UPPER(I19)="Y",0,G19*H19)</f>
        <v>4</v>
      </c>
      <c r="K19" s="20" t="s">
        <v>124</v>
      </c>
      <c r="L19" s="14" t="s">
        <v>125</v>
      </c>
      <c r="M19" s="13" t="s">
        <v>126</v>
      </c>
      <c r="N19" s="19"/>
    </row>
    <row r="20" customFormat="false" ht="26.85" hidden="false" customHeight="false" outlineLevel="0" collapsed="false">
      <c r="A20" s="13" t="n">
        <v>16</v>
      </c>
      <c r="B20" s="13" t="s">
        <v>3</v>
      </c>
      <c r="C20" s="14" t="s">
        <v>127</v>
      </c>
      <c r="D20" s="14" t="s">
        <v>128</v>
      </c>
      <c r="E20" s="21" t="n">
        <f aca="false">IF(UPPER(Assumptions!$B$5)="Y",1,0)</f>
        <v>0</v>
      </c>
      <c r="F20" s="16" t="n">
        <v>1</v>
      </c>
      <c r="G20" s="13" t="n">
        <f aca="false">IF(E20=0,0,ROUNDUP(E20/F20,0))</f>
        <v>0</v>
      </c>
      <c r="H20" s="17" t="n">
        <v>22</v>
      </c>
      <c r="I20" s="18" t="s">
        <v>30</v>
      </c>
      <c r="J20" s="19" t="n">
        <f aca="false">IF(UPPER(I20)="Y",0,G20*H20)</f>
        <v>0</v>
      </c>
      <c r="K20" s="20" t="s">
        <v>129</v>
      </c>
      <c r="L20" s="14" t="s">
        <v>130</v>
      </c>
      <c r="M20" s="13" t="s">
        <v>131</v>
      </c>
      <c r="N20" s="19"/>
    </row>
    <row r="21" customFormat="false" ht="15" hidden="false" customHeight="false" outlineLevel="0" collapsed="false">
      <c r="A21" s="13" t="n">
        <v>17</v>
      </c>
      <c r="B21" s="13" t="s">
        <v>4</v>
      </c>
      <c r="C21" s="14" t="s">
        <v>132</v>
      </c>
      <c r="D21" s="14" t="s">
        <v>133</v>
      </c>
      <c r="E21" s="15" t="n">
        <v>6</v>
      </c>
      <c r="F21" s="16" t="n">
        <v>50</v>
      </c>
      <c r="G21" s="13" t="n">
        <f aca="false">IF(E21=0,0,ROUNDUP(E21/F21,0))</f>
        <v>1</v>
      </c>
      <c r="H21" s="17" t="n">
        <v>1.9</v>
      </c>
      <c r="I21" s="18" t="s">
        <v>30</v>
      </c>
      <c r="J21" s="19" t="n">
        <f aca="false">IF(UPPER(I21)="Y",0,G21*H21)</f>
        <v>1.9</v>
      </c>
      <c r="K21" s="20" t="s">
        <v>74</v>
      </c>
      <c r="L21" s="14" t="s">
        <v>134</v>
      </c>
      <c r="M21" s="13" t="s">
        <v>76</v>
      </c>
      <c r="N21" s="19" t="n">
        <v>1.09</v>
      </c>
    </row>
    <row r="22" customFormat="false" ht="39.55" hidden="false" customHeight="false" outlineLevel="0" collapsed="false">
      <c r="A22" s="13" t="n">
        <v>18</v>
      </c>
      <c r="B22" s="13" t="s">
        <v>4</v>
      </c>
      <c r="C22" s="14" t="s">
        <v>135</v>
      </c>
      <c r="D22" s="14" t="s">
        <v>136</v>
      </c>
      <c r="E22" s="21" t="n">
        <f aca="false">3*Assumptions!$B$4</f>
        <v>18</v>
      </c>
      <c r="F22" s="16" t="n">
        <v>20</v>
      </c>
      <c r="G22" s="13" t="n">
        <f aca="false">IF(E22=0,0,ROUNDUP(E22/F22,0))</f>
        <v>1</v>
      </c>
      <c r="H22" s="17" t="n">
        <v>3</v>
      </c>
      <c r="I22" s="18" t="s">
        <v>30</v>
      </c>
      <c r="J22" s="19" t="n">
        <f aca="false">IF(UPPER(I22)="Y",0,G22*H22)</f>
        <v>3</v>
      </c>
      <c r="K22" s="20" t="s">
        <v>137</v>
      </c>
      <c r="L22" s="14" t="s">
        <v>138</v>
      </c>
      <c r="M22" s="13" t="s">
        <v>126</v>
      </c>
      <c r="N22" s="19"/>
    </row>
    <row r="23" customFormat="false" ht="26.85" hidden="false" customHeight="false" outlineLevel="0" collapsed="false">
      <c r="A23" s="13" t="n">
        <v>19</v>
      </c>
      <c r="B23" s="13" t="s">
        <v>4</v>
      </c>
      <c r="C23" s="14" t="s">
        <v>139</v>
      </c>
      <c r="D23" s="14" t="s">
        <v>140</v>
      </c>
      <c r="E23" s="21" t="n">
        <f aca="false">Assumptions!$B$4</f>
        <v>6</v>
      </c>
      <c r="F23" s="16" t="n">
        <v>10</v>
      </c>
      <c r="G23" s="13" t="n">
        <f aca="false">IF(E23=0,0,ROUNDUP(E23/F23,0))</f>
        <v>1</v>
      </c>
      <c r="H23" s="17" t="n">
        <v>4</v>
      </c>
      <c r="I23" s="18" t="s">
        <v>30</v>
      </c>
      <c r="J23" s="19" t="n">
        <f aca="false">IF(UPPER(I23)="Y",0,G23*H23)</f>
        <v>4</v>
      </c>
      <c r="K23" s="20" t="s">
        <v>141</v>
      </c>
      <c r="L23" s="14" t="s">
        <v>142</v>
      </c>
      <c r="M23" s="13" t="s">
        <v>126</v>
      </c>
      <c r="N23" s="19"/>
    </row>
    <row r="24" customFormat="false" ht="26.85" hidden="false" customHeight="false" outlineLevel="0" collapsed="false">
      <c r="A24" s="13" t="n">
        <v>20</v>
      </c>
      <c r="B24" s="13" t="s">
        <v>4</v>
      </c>
      <c r="C24" s="14" t="s">
        <v>143</v>
      </c>
      <c r="D24" s="14" t="s">
        <v>144</v>
      </c>
      <c r="E24" s="21" t="n">
        <f aca="false">4*Assumptions!$B$4+3</f>
        <v>27</v>
      </c>
      <c r="F24" s="16" t="n">
        <v>50</v>
      </c>
      <c r="G24" s="13" t="n">
        <f aca="false">IF(E24=0,0,ROUNDUP(E24/F24,0))</f>
        <v>1</v>
      </c>
      <c r="H24" s="17" t="n">
        <v>12.94</v>
      </c>
      <c r="I24" s="18" t="s">
        <v>30</v>
      </c>
      <c r="J24" s="19" t="n">
        <f aca="false">IF(UPPER(I24)="Y",0,G24*H24)</f>
        <v>12.94</v>
      </c>
      <c r="K24" s="20" t="s">
        <v>145</v>
      </c>
      <c r="L24" s="14" t="s">
        <v>146</v>
      </c>
      <c r="M24" s="13" t="s">
        <v>66</v>
      </c>
      <c r="N24" s="19" t="n">
        <v>1.09</v>
      </c>
    </row>
    <row r="25" customFormat="false" ht="26.85" hidden="false" customHeight="false" outlineLevel="0" collapsed="false">
      <c r="A25" s="13" t="n">
        <v>21</v>
      </c>
      <c r="B25" s="13" t="s">
        <v>4</v>
      </c>
      <c r="C25" s="14" t="s">
        <v>147</v>
      </c>
      <c r="D25" s="14" t="s">
        <v>148</v>
      </c>
      <c r="E25" s="21" t="n">
        <f aca="false">Assumptions!$B$4</f>
        <v>6</v>
      </c>
      <c r="F25" s="16" t="n">
        <v>50</v>
      </c>
      <c r="G25" s="13" t="n">
        <f aca="false">IF(E25=0,0,ROUNDUP(E25/F25,0))</f>
        <v>1</v>
      </c>
      <c r="H25" s="17" t="n">
        <v>1.5</v>
      </c>
      <c r="I25" s="18" t="s">
        <v>30</v>
      </c>
      <c r="J25" s="19" t="n">
        <f aca="false">IF(UPPER(I25)="Y",0,G25*H25)</f>
        <v>1.5</v>
      </c>
      <c r="K25" s="20" t="s">
        <v>149</v>
      </c>
      <c r="L25" s="14" t="s">
        <v>150</v>
      </c>
      <c r="M25" s="13" t="s">
        <v>89</v>
      </c>
      <c r="N25" s="19" t="n">
        <v>1.09</v>
      </c>
    </row>
    <row r="26" customFormat="false" ht="15" hidden="false" customHeight="false" outlineLevel="0" collapsed="false">
      <c r="A26" s="13" t="n">
        <v>22</v>
      </c>
      <c r="B26" s="13" t="s">
        <v>4</v>
      </c>
      <c r="C26" s="14" t="s">
        <v>151</v>
      </c>
      <c r="D26" s="14" t="s">
        <v>152</v>
      </c>
      <c r="E26" s="21" t="n">
        <f aca="false">Assumptions!$B$4</f>
        <v>6</v>
      </c>
      <c r="F26" s="16" t="n">
        <v>1</v>
      </c>
      <c r="G26" s="13" t="n">
        <f aca="false">IF(E26=0,0,ROUNDUP(E26/F26,0))</f>
        <v>6</v>
      </c>
      <c r="H26" s="17" t="n">
        <v>0.87</v>
      </c>
      <c r="I26" s="18" t="s">
        <v>30</v>
      </c>
      <c r="J26" s="19" t="n">
        <f aca="false">IF(UPPER(I26)="Y",0,G26*H26)</f>
        <v>5.22</v>
      </c>
      <c r="K26" s="20" t="s">
        <v>92</v>
      </c>
      <c r="L26" s="14" t="s">
        <v>153</v>
      </c>
      <c r="M26" s="13" t="s">
        <v>66</v>
      </c>
      <c r="N26" s="19"/>
    </row>
    <row r="27" customFormat="false" ht="15" hidden="false" customHeight="false" outlineLevel="0" collapsed="false">
      <c r="A27" s="13" t="n">
        <v>23</v>
      </c>
      <c r="B27" s="13" t="s">
        <v>4</v>
      </c>
      <c r="C27" s="14" t="s">
        <v>154</v>
      </c>
      <c r="D27" s="14" t="s">
        <v>155</v>
      </c>
      <c r="E27" s="21" t="n">
        <f aca="false">2*Assumptions!$B$4</f>
        <v>12</v>
      </c>
      <c r="F27" s="16" t="n">
        <v>50</v>
      </c>
      <c r="G27" s="13" t="n">
        <f aca="false">IF(E27=0,0,ROUNDUP(E27/F27,0))</f>
        <v>1</v>
      </c>
      <c r="H27" s="17" t="n">
        <v>2.5</v>
      </c>
      <c r="I27" s="18" t="s">
        <v>30</v>
      </c>
      <c r="J27" s="19" t="n">
        <f aca="false">IF(UPPER(I27)="Y",0,G27*H27)</f>
        <v>2.5</v>
      </c>
      <c r="K27" s="20" t="s">
        <v>156</v>
      </c>
      <c r="L27" s="14" t="s">
        <v>157</v>
      </c>
      <c r="M27" s="13" t="s">
        <v>89</v>
      </c>
      <c r="N27" s="19" t="n">
        <v>1.09</v>
      </c>
    </row>
    <row r="28" customFormat="false" ht="64.9" hidden="false" customHeight="false" outlineLevel="0" collapsed="false">
      <c r="A28" s="13" t="n">
        <v>24</v>
      </c>
      <c r="B28" s="13" t="s">
        <v>5</v>
      </c>
      <c r="C28" s="14" t="s">
        <v>158</v>
      </c>
      <c r="D28" s="14" t="s">
        <v>159</v>
      </c>
      <c r="E28" s="21" t="n">
        <f aca="false">Assumptions!$B$4</f>
        <v>6</v>
      </c>
      <c r="F28" s="16" t="n">
        <v>1</v>
      </c>
      <c r="G28" s="13" t="n">
        <f aca="false">IF(E28=0,0,ROUNDUP(E28/F28,0))</f>
        <v>6</v>
      </c>
      <c r="H28" s="17" t="n">
        <v>19.98</v>
      </c>
      <c r="I28" s="18" t="s">
        <v>30</v>
      </c>
      <c r="J28" s="19" t="n">
        <f aca="false">IF(UPPER(I28)="Y",0,G28*H28)</f>
        <v>119.88</v>
      </c>
      <c r="K28" s="20" t="s">
        <v>160</v>
      </c>
      <c r="L28" s="14" t="s">
        <v>161</v>
      </c>
      <c r="M28" s="13" t="s">
        <v>66</v>
      </c>
      <c r="N28" s="19" t="n">
        <v>1.09</v>
      </c>
    </row>
    <row r="29" customFormat="false" ht="39.55" hidden="false" customHeight="false" outlineLevel="0" collapsed="false">
      <c r="A29" s="13" t="n">
        <v>25</v>
      </c>
      <c r="B29" s="13" t="s">
        <v>5</v>
      </c>
      <c r="C29" s="14" t="s">
        <v>162</v>
      </c>
      <c r="D29" s="14" t="s">
        <v>163</v>
      </c>
      <c r="E29" s="21" t="n">
        <f aca="false">Assumptions!$B$4</f>
        <v>6</v>
      </c>
      <c r="F29" s="16" t="n">
        <v>1</v>
      </c>
      <c r="G29" s="13" t="n">
        <f aca="false">IF(E29=0,0,ROUNDUP(E29/F29,0))</f>
        <v>6</v>
      </c>
      <c r="H29" s="17" t="n">
        <v>3.4</v>
      </c>
      <c r="I29" s="18" t="s">
        <v>30</v>
      </c>
      <c r="J29" s="19" t="n">
        <f aca="false">IF(UPPER(I29)="Y",0,G29*H29)</f>
        <v>20.4</v>
      </c>
      <c r="K29" s="20" t="s">
        <v>164</v>
      </c>
      <c r="L29" s="14" t="s">
        <v>165</v>
      </c>
      <c r="M29" s="13" t="s">
        <v>89</v>
      </c>
      <c r="N29" s="19" t="n">
        <v>2.72</v>
      </c>
    </row>
    <row r="30" customFormat="false" ht="15" hidden="false" customHeight="false" outlineLevel="0" collapsed="false">
      <c r="A30" s="13" t="n">
        <v>26</v>
      </c>
      <c r="B30" s="13" t="s">
        <v>5</v>
      </c>
      <c r="C30" s="14" t="s">
        <v>166</v>
      </c>
      <c r="D30" s="14" t="s">
        <v>167</v>
      </c>
      <c r="E30" s="21" t="n">
        <f aca="false">Assumptions!$B$4</f>
        <v>6</v>
      </c>
      <c r="F30" s="16" t="n">
        <v>1</v>
      </c>
      <c r="G30" s="13" t="n">
        <f aca="false">IF(E30=0,0,ROUNDUP(E30/F30,0))</f>
        <v>6</v>
      </c>
      <c r="H30" s="17" t="n">
        <v>1.79</v>
      </c>
      <c r="I30" s="18" t="s">
        <v>30</v>
      </c>
      <c r="J30" s="19" t="n">
        <f aca="false">IF(UPPER(I30)="Y",0,G30*H30)</f>
        <v>10.74</v>
      </c>
      <c r="K30" s="20" t="s">
        <v>168</v>
      </c>
      <c r="L30" s="14" t="s">
        <v>169</v>
      </c>
      <c r="M30" s="13" t="s">
        <v>66</v>
      </c>
      <c r="N30" s="19" t="n">
        <v>1.09</v>
      </c>
    </row>
    <row r="31" customFormat="false" ht="26.85" hidden="false" customHeight="false" outlineLevel="0" collapsed="false">
      <c r="A31" s="13" t="n">
        <v>27</v>
      </c>
      <c r="B31" s="13" t="s">
        <v>5</v>
      </c>
      <c r="C31" s="14" t="s">
        <v>170</v>
      </c>
      <c r="D31" s="14" t="s">
        <v>171</v>
      </c>
      <c r="E31" s="21" t="n">
        <f aca="false">1.5*Assumptions!$B$4</f>
        <v>9</v>
      </c>
      <c r="F31" s="16" t="n">
        <v>1</v>
      </c>
      <c r="G31" s="13" t="n">
        <f aca="false">IF(E31=0,0,ROUNDUP(E31/F31,0))</f>
        <v>9</v>
      </c>
      <c r="H31" s="17" t="n">
        <v>3.03</v>
      </c>
      <c r="I31" s="18" t="s">
        <v>30</v>
      </c>
      <c r="J31" s="19" t="n">
        <f aca="false">IF(UPPER(I31)="Y",0,G31*H31)</f>
        <v>27.27</v>
      </c>
      <c r="K31" s="20" t="s">
        <v>172</v>
      </c>
      <c r="L31" s="14" t="s">
        <v>173</v>
      </c>
      <c r="M31" s="13" t="s">
        <v>89</v>
      </c>
      <c r="N31" s="19" t="n">
        <v>2.33</v>
      </c>
    </row>
    <row r="32" customFormat="false" ht="15" hidden="false" customHeight="false" outlineLevel="0" collapsed="false">
      <c r="A32" s="13" t="n">
        <v>28</v>
      </c>
      <c r="B32" s="13" t="s">
        <v>5</v>
      </c>
      <c r="C32" s="14" t="s">
        <v>174</v>
      </c>
      <c r="D32" s="14" t="s">
        <v>175</v>
      </c>
      <c r="E32" s="21" t="n">
        <f aca="false">2*Assumptions!$B$4</f>
        <v>12</v>
      </c>
      <c r="F32" s="16" t="n">
        <v>10</v>
      </c>
      <c r="G32" s="13" t="n">
        <f aca="false">IF(E32=0,0,ROUNDUP(E32/F32,0))</f>
        <v>2</v>
      </c>
      <c r="H32" s="17" t="n">
        <v>2.03</v>
      </c>
      <c r="I32" s="18" t="s">
        <v>30</v>
      </c>
      <c r="J32" s="19" t="n">
        <f aca="false">IF(UPPER(I32)="Y",0,G32*H32)</f>
        <v>4.06</v>
      </c>
      <c r="K32" s="20" t="s">
        <v>176</v>
      </c>
      <c r="L32" s="14" t="s">
        <v>177</v>
      </c>
      <c r="M32" s="13" t="s">
        <v>89</v>
      </c>
      <c r="N32" s="19" t="n">
        <v>1.93</v>
      </c>
    </row>
    <row r="33" customFormat="false" ht="15" hidden="false" customHeight="false" outlineLevel="0" collapsed="false">
      <c r="A33" s="13" t="n">
        <v>29</v>
      </c>
      <c r="B33" s="13" t="s">
        <v>5</v>
      </c>
      <c r="C33" s="14" t="s">
        <v>178</v>
      </c>
      <c r="D33" s="14" t="s">
        <v>179</v>
      </c>
      <c r="E33" s="15" t="n">
        <v>1</v>
      </c>
      <c r="F33" s="16" t="n">
        <v>1</v>
      </c>
      <c r="G33" s="13" t="n">
        <f aca="false">IF(E33=0,0,ROUNDUP(E33/F33,0))</f>
        <v>1</v>
      </c>
      <c r="H33" s="17" t="n">
        <v>7.69</v>
      </c>
      <c r="I33" s="18" t="s">
        <v>30</v>
      </c>
      <c r="J33" s="19" t="n">
        <f aca="false">IF(UPPER(I33)="Y",0,G33*H33)</f>
        <v>7.69</v>
      </c>
      <c r="K33" s="20" t="s">
        <v>180</v>
      </c>
      <c r="L33" s="14" t="s">
        <v>181</v>
      </c>
      <c r="M33" s="13" t="s">
        <v>66</v>
      </c>
      <c r="N33" s="19" t="n">
        <v>1.09</v>
      </c>
    </row>
    <row r="34" customFormat="false" ht="26.85" hidden="false" customHeight="false" outlineLevel="0" collapsed="false">
      <c r="A34" s="13" t="n">
        <v>30</v>
      </c>
      <c r="B34" s="13" t="s">
        <v>5</v>
      </c>
      <c r="C34" s="14" t="s">
        <v>182</v>
      </c>
      <c r="D34" s="14" t="s">
        <v>183</v>
      </c>
      <c r="E34" s="21" t="n">
        <f aca="false">1.5*Assumptions!$B$4</f>
        <v>9</v>
      </c>
      <c r="F34" s="16" t="n">
        <v>5</v>
      </c>
      <c r="G34" s="13" t="n">
        <f aca="false">IF(E34=0,0,ROUNDUP(E34/F34,0))</f>
        <v>2</v>
      </c>
      <c r="H34" s="17" t="n">
        <v>6</v>
      </c>
      <c r="I34" s="18" t="s">
        <v>30</v>
      </c>
      <c r="J34" s="19" t="n">
        <f aca="false">IF(UPPER(I34)="Y",0,G34*H34)</f>
        <v>12</v>
      </c>
      <c r="K34" s="20" t="s">
        <v>184</v>
      </c>
      <c r="L34" s="14" t="s">
        <v>185</v>
      </c>
      <c r="M34" s="13" t="s">
        <v>84</v>
      </c>
      <c r="N34" s="19"/>
    </row>
    <row r="35" customFormat="false" ht="15" hidden="false" customHeight="false" outlineLevel="0" collapsed="false">
      <c r="A35" s="13" t="n">
        <v>31</v>
      </c>
      <c r="B35" s="13" t="s">
        <v>5</v>
      </c>
      <c r="C35" s="14" t="s">
        <v>186</v>
      </c>
      <c r="D35" s="14" t="s">
        <v>187</v>
      </c>
      <c r="E35" s="21" t="n">
        <f aca="false">2*Assumptions!$B$4</f>
        <v>12</v>
      </c>
      <c r="F35" s="16" t="n">
        <v>10</v>
      </c>
      <c r="G35" s="13" t="n">
        <f aca="false">IF(E35=0,0,ROUNDUP(E35/F35,0))</f>
        <v>2</v>
      </c>
      <c r="H35" s="17" t="n">
        <v>10.15</v>
      </c>
      <c r="I35" s="18" t="s">
        <v>30</v>
      </c>
      <c r="J35" s="19" t="n">
        <f aca="false">IF(UPPER(I35)="Y",0,G35*H35)</f>
        <v>20.3</v>
      </c>
      <c r="K35" s="20" t="s">
        <v>188</v>
      </c>
      <c r="L35" s="14"/>
      <c r="M35" s="13" t="s">
        <v>66</v>
      </c>
      <c r="N35" s="19" t="n">
        <v>1.09</v>
      </c>
    </row>
    <row r="36" customFormat="false" ht="26.85" hidden="false" customHeight="false" outlineLevel="0" collapsed="false">
      <c r="A36" s="13" t="n">
        <v>32</v>
      </c>
      <c r="B36" s="13" t="s">
        <v>6</v>
      </c>
      <c r="C36" s="14" t="s">
        <v>189</v>
      </c>
      <c r="D36" s="14" t="s">
        <v>190</v>
      </c>
      <c r="E36" s="15" t="n">
        <v>1</v>
      </c>
      <c r="F36" s="16" t="n">
        <v>1</v>
      </c>
      <c r="G36" s="13" t="n">
        <f aca="false">IF(E36=0,0,ROUNDUP(E36/F36,0))</f>
        <v>1</v>
      </c>
      <c r="H36" s="17" t="n">
        <v>0</v>
      </c>
      <c r="I36" s="18" t="s">
        <v>191</v>
      </c>
      <c r="J36" s="19" t="n">
        <f aca="false">IF(UPPER(I36)="Y",0,G36*H36)</f>
        <v>0</v>
      </c>
      <c r="K36" s="13"/>
      <c r="L36" s="14" t="s">
        <v>192</v>
      </c>
      <c r="M36" s="13" t="s">
        <v>193</v>
      </c>
      <c r="N36" s="19"/>
    </row>
    <row r="37" customFormat="false" ht="26.85" hidden="false" customHeight="false" outlineLevel="0" collapsed="false">
      <c r="A37" s="13" t="n">
        <v>33</v>
      </c>
      <c r="B37" s="13" t="s">
        <v>6</v>
      </c>
      <c r="C37" s="14" t="s">
        <v>194</v>
      </c>
      <c r="D37" s="14" t="s">
        <v>195</v>
      </c>
      <c r="E37" s="21" t="n">
        <f aca="false">MAX(0,Assumptions!$B$4-4)</f>
        <v>2</v>
      </c>
      <c r="F37" s="16" t="n">
        <v>1</v>
      </c>
      <c r="G37" s="13" t="n">
        <f aca="false">IF(E37=0,0,ROUNDUP(E37/F37,0))</f>
        <v>2</v>
      </c>
      <c r="H37" s="17" t="n">
        <v>36.37</v>
      </c>
      <c r="I37" s="18" t="s">
        <v>30</v>
      </c>
      <c r="J37" s="19" t="n">
        <f aca="false">IF(UPPER(I37)="Y",0,G37*H37)</f>
        <v>72.74</v>
      </c>
      <c r="K37" s="20" t="s">
        <v>196</v>
      </c>
      <c r="L37" s="14" t="s">
        <v>197</v>
      </c>
      <c r="M37" s="13" t="s">
        <v>66</v>
      </c>
      <c r="N37" s="19" t="n">
        <v>4.41</v>
      </c>
    </row>
    <row r="38" customFormat="false" ht="15" hidden="false" customHeight="false" outlineLevel="0" collapsed="false">
      <c r="A38" s="13" t="n">
        <v>34</v>
      </c>
      <c r="B38" s="13" t="s">
        <v>6</v>
      </c>
      <c r="C38" s="14" t="s">
        <v>198</v>
      </c>
      <c r="D38" s="14" t="s">
        <v>199</v>
      </c>
      <c r="E38" s="21" t="n">
        <f aca="false">IF(Assumptions!$B$4&gt;4,1,0)</f>
        <v>1</v>
      </c>
      <c r="F38" s="16" t="n">
        <v>1</v>
      </c>
      <c r="G38" s="13" t="n">
        <f aca="false">IF(E38=0,0,ROUNDUP(E38/F38,0))</f>
        <v>1</v>
      </c>
      <c r="H38" s="17" t="n">
        <v>6</v>
      </c>
      <c r="I38" s="18" t="s">
        <v>30</v>
      </c>
      <c r="J38" s="19" t="n">
        <f aca="false">IF(UPPER(I38)="Y",0,G38*H38)</f>
        <v>6</v>
      </c>
      <c r="K38" s="20" t="s">
        <v>200</v>
      </c>
      <c r="L38" s="14" t="s">
        <v>201</v>
      </c>
      <c r="M38" s="13" t="s">
        <v>126</v>
      </c>
      <c r="N38" s="19"/>
    </row>
    <row r="39" customFormat="false" ht="26.85" hidden="false" customHeight="false" outlineLevel="0" collapsed="false">
      <c r="A39" s="13" t="n">
        <v>35</v>
      </c>
      <c r="B39" s="13" t="s">
        <v>6</v>
      </c>
      <c r="C39" s="14" t="s">
        <v>202</v>
      </c>
      <c r="D39" s="14" t="s">
        <v>203</v>
      </c>
      <c r="E39" s="15" t="n">
        <v>1</v>
      </c>
      <c r="F39" s="16" t="n">
        <v>1</v>
      </c>
      <c r="G39" s="13" t="n">
        <f aca="false">IF(E39=0,0,ROUNDUP(E39/F39,0))</f>
        <v>1</v>
      </c>
      <c r="H39" s="17" t="n">
        <v>32.1</v>
      </c>
      <c r="I39" s="18" t="s">
        <v>30</v>
      </c>
      <c r="J39" s="19" t="n">
        <f aca="false">IF(UPPER(I39)="Y",0,G39*H39)</f>
        <v>32.1</v>
      </c>
      <c r="K39" s="20" t="s">
        <v>204</v>
      </c>
      <c r="L39" s="14" t="s">
        <v>205</v>
      </c>
      <c r="M39" s="13" t="s">
        <v>206</v>
      </c>
      <c r="N39" s="19"/>
    </row>
    <row r="40" customFormat="false" ht="26.85" hidden="false" customHeight="false" outlineLevel="0" collapsed="false">
      <c r="A40" s="13" t="n">
        <v>36</v>
      </c>
      <c r="B40" s="13" t="s">
        <v>6</v>
      </c>
      <c r="C40" s="14" t="s">
        <v>207</v>
      </c>
      <c r="D40" s="14" t="s">
        <v>208</v>
      </c>
      <c r="E40" s="15" t="n">
        <v>1</v>
      </c>
      <c r="F40" s="16" t="n">
        <v>1</v>
      </c>
      <c r="G40" s="13" t="n">
        <f aca="false">IF(E40=0,0,ROUNDUP(E40/F40,0))</f>
        <v>1</v>
      </c>
      <c r="H40" s="17" t="n">
        <v>16.02</v>
      </c>
      <c r="I40" s="18" t="s">
        <v>30</v>
      </c>
      <c r="J40" s="19" t="n">
        <f aca="false">IF(UPPER(I40)="Y",0,G40*H40)</f>
        <v>16.02</v>
      </c>
      <c r="K40" s="20" t="s">
        <v>209</v>
      </c>
      <c r="L40" s="14" t="s">
        <v>210</v>
      </c>
      <c r="M40" s="13" t="s">
        <v>89</v>
      </c>
      <c r="N40" s="19" t="n">
        <v>1.09</v>
      </c>
    </row>
    <row r="41" customFormat="false" ht="15" hidden="false" customHeight="false" outlineLevel="0" collapsed="false">
      <c r="A41" s="13" t="n">
        <v>37</v>
      </c>
      <c r="B41" s="13" t="s">
        <v>6</v>
      </c>
      <c r="C41" s="14" t="s">
        <v>211</v>
      </c>
      <c r="D41" s="14" t="s">
        <v>212</v>
      </c>
      <c r="E41" s="15" t="n">
        <v>1</v>
      </c>
      <c r="F41" s="16" t="n">
        <v>1</v>
      </c>
      <c r="G41" s="13" t="n">
        <f aca="false">IF(E41=0,0,ROUNDUP(E41/F41,0))</f>
        <v>1</v>
      </c>
      <c r="H41" s="17" t="n">
        <v>0</v>
      </c>
      <c r="I41" s="18" t="s">
        <v>191</v>
      </c>
      <c r="J41" s="19" t="n">
        <f aca="false">IF(UPPER(I41)="Y",0,G41*H41)</f>
        <v>0</v>
      </c>
      <c r="K41" s="13"/>
      <c r="L41" s="14" t="s">
        <v>213</v>
      </c>
      <c r="M41" s="13" t="s">
        <v>193</v>
      </c>
      <c r="N41" s="19"/>
    </row>
    <row r="42" customFormat="false" ht="15" hidden="false" customHeight="false" outlineLevel="0" collapsed="false">
      <c r="A42" s="13" t="n">
        <v>38</v>
      </c>
      <c r="B42" s="13" t="s">
        <v>7</v>
      </c>
      <c r="C42" s="14" t="s">
        <v>214</v>
      </c>
      <c r="D42" s="14" t="s">
        <v>215</v>
      </c>
      <c r="E42" s="15" t="n">
        <v>1</v>
      </c>
      <c r="F42" s="16" t="n">
        <v>1</v>
      </c>
      <c r="G42" s="13" t="n">
        <f aca="false">IF(E42=0,0,ROUNDUP(E42/F42,0))</f>
        <v>1</v>
      </c>
      <c r="H42" s="17" t="n">
        <v>15</v>
      </c>
      <c r="I42" s="18" t="s">
        <v>191</v>
      </c>
      <c r="J42" s="19" t="n">
        <f aca="false">IF(UPPER(I42)="Y",0,G42*H42)</f>
        <v>0</v>
      </c>
      <c r="K42" s="20" t="s">
        <v>216</v>
      </c>
      <c r="L42" s="14" t="s">
        <v>217</v>
      </c>
      <c r="M42" s="13" t="s">
        <v>193</v>
      </c>
      <c r="N42" s="19"/>
    </row>
    <row r="43" customFormat="false" ht="15" hidden="false" customHeight="false" outlineLevel="0" collapsed="false">
      <c r="I43" s="6" t="s">
        <v>218</v>
      </c>
      <c r="J43" s="7" t="n">
        <f aca="false">SUM(J5:J42)</f>
        <v>448.7</v>
      </c>
    </row>
  </sheetData>
  <autoFilter ref="A4:N42"/>
  <dataValidations count="1">
    <dataValidation allowBlank="false" errorStyle="stop" operator="between" showDropDown="false" showErrorMessage="false" showInputMessage="false" sqref="I5:I42" type="list">
      <formula1>"Y,N"</formula1>
      <formula2>0</formula2>
    </dataValidation>
  </dataValidations>
  <hyperlinks>
    <hyperlink ref="K5" r:id="rId1" display="https://www.aliexpress.us/item/3256808936360634.html"/>
    <hyperlink ref="K6" r:id="rId2" display="https://www.aliexpress.us/item/3256801934742685.html"/>
    <hyperlink ref="K7" r:id="rId3" display="https://www.aliexpress.us/item/3256806837028480.html"/>
    <hyperlink ref="K8" r:id="rId4" display="https://www.aliexpress.us/item/3256806837028480.html"/>
    <hyperlink ref="K9" r:id="rId5" display="https://www.aliexpress.us/w/wholesale-compression-spring-assortment.html"/>
    <hyperlink ref="K10" r:id="rId6" display="https://www.aliexpress.us/item/3256808807952066.html"/>
    <hyperlink ref="K11" r:id="rId7" display="https://www.aliexpress.us/item/2251832624516972.html"/>
    <hyperlink ref="K12" r:id="rId8" display="https://www.aliexpress.us/item/2251832787493408.html"/>
    <hyperlink ref="K13" r:id="rId9" display="https://www.aliexpress.us/item/3256805018062207.html"/>
    <hyperlink ref="K14" r:id="rId10" display="https://www.aliexpress.us/item/3256808527324482.html"/>
    <hyperlink ref="K15" r:id="rId11" display="https://www.aliexpress.us/item/3256807635919515.html"/>
    <hyperlink ref="K16" r:id="rId12" display="https://www.aliexpress.us/w/wholesale-m2-m2.5-m3-socket-head-screw-kit.html"/>
    <hyperlink ref="K17" r:id="rId13" display="https://www.aliexpress.us/item/2251832782727837.html"/>
    <hyperlink ref="K18" r:id="rId14" display="https://www.aliexpress.us/item/3256810138806595.html"/>
    <hyperlink ref="K19" r:id="rId15" display="https://www.aliexpress.us/w/wholesale-silicone-strip-10x2mm-adhesive.html"/>
    <hyperlink ref="K20" r:id="rId16" display="https://jlccnc.com"/>
    <hyperlink ref="K21" r:id="rId17" display="https://www.aliexpress.us/item/3256806837028480.html"/>
    <hyperlink ref="K22" r:id="rId18" display="https://www.aliexpress.us/w/wholesale-round-head-pin-3mm.html"/>
    <hyperlink ref="K23" r:id="rId19" display="https://www.aliexpress.us/w/wholesale-m3-internal-thread-round-head-pin-5mm.html"/>
    <hyperlink ref="K24" r:id="rId20" display="https://www.aliexpress.us/item/3256809533301082.html"/>
    <hyperlink ref="K25" r:id="rId21" display="https://www.aliexpress.us/item/3256805693063078.html"/>
    <hyperlink ref="K26" r:id="rId22" display="https://www.aliexpress.us/item/2251832624516972.html"/>
    <hyperlink ref="K27" r:id="rId23" display="https://www.aliexpress.us/item/2251832837457300.html"/>
    <hyperlink ref="K28" r:id="rId24" display="https://www.aliexpress.us/item/3256805875155396.html"/>
    <hyperlink ref="K29" r:id="rId25" display="https://www.aliexpress.us/item/3256808485891466.html"/>
    <hyperlink ref="K30" r:id="rId26" display="https://www.aliexpress.us/item/3256808316755061.html"/>
    <hyperlink ref="K31" r:id="rId27" display="https://www.aliexpress.us/item/2255800968230040.html"/>
    <hyperlink ref="K32" r:id="rId28" display="https://www.aliexpress.us/item/3256802961371687.html"/>
    <hyperlink ref="K33" r:id="rId29" display="https://www.aliexpress.us/item/3256804674205585.html"/>
    <hyperlink ref="K34" r:id="rId30" display="https://www.aliexpress.us/w/wholesale-ptfe-tube-2x4mm-5m.html"/>
    <hyperlink ref="K35" r:id="rId31" display="https://www.aliexpress.us/item/3256809971210588.html"/>
    <hyperlink ref="K37" r:id="rId32" display="https://www.aliexpress.us/item/3256807670809484.html"/>
    <hyperlink ref="K38" r:id="rId33" display="https://www.aliexpress.us/w/wholesale-can-bus-cable-4-core-twisted.html"/>
    <hyperlink ref="K39" r:id="rId34" display="https://www.mouser.com/ProductDetail/MEAN-WELL/LRS-350-24?qs=ah3jBNVE1PT%2BkwLcackrGA%3D%3D"/>
    <hyperlink ref="K40" r:id="rId35" display="https://www.aliexpress.us/item/3256809851025256.html"/>
    <hyperlink ref="K42" r:id="rId36" display="https://www.aliexpress.us/w/wholesale-asa-filament-1kg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219</v>
      </c>
    </row>
    <row r="3" customFormat="false" ht="15" hidden="false" customHeight="false" outlineLevel="0" collapsed="false">
      <c r="A3" s="4" t="s">
        <v>220</v>
      </c>
      <c r="B3" s="22" t="s">
        <v>221</v>
      </c>
    </row>
    <row r="4" customFormat="false" ht="15" hidden="false" customHeight="false" outlineLevel="0" collapsed="false">
      <c r="A4" s="4" t="s">
        <v>222</v>
      </c>
      <c r="B4" s="22" t="s">
        <v>223</v>
      </c>
    </row>
    <row r="5" customFormat="false" ht="15" hidden="false" customHeight="false" outlineLevel="0" collapsed="false">
      <c r="A5" s="4" t="s">
        <v>224</v>
      </c>
      <c r="B5" s="22" t="s">
        <v>225</v>
      </c>
    </row>
    <row r="6" customFormat="false" ht="15" hidden="false" customHeight="false" outlineLevel="0" collapsed="false">
      <c r="A6" s="4" t="s">
        <v>226</v>
      </c>
      <c r="B6" s="22" t="s">
        <v>227</v>
      </c>
    </row>
    <row r="7" customFormat="false" ht="15" hidden="false" customHeight="false" outlineLevel="0" collapsed="false">
      <c r="A7" s="4" t="s">
        <v>228</v>
      </c>
      <c r="B7" s="22" t="s">
        <v>229</v>
      </c>
    </row>
    <row r="8" customFormat="false" ht="15" hidden="false" customHeight="false" outlineLevel="0" collapsed="false">
      <c r="A8" s="4" t="s">
        <v>230</v>
      </c>
      <c r="B8" s="22" t="s">
        <v>231</v>
      </c>
    </row>
    <row r="9" customFormat="false" ht="15" hidden="false" customHeight="false" outlineLevel="0" collapsed="false">
      <c r="A9" s="4" t="s">
        <v>232</v>
      </c>
      <c r="B9" s="22" t="s">
        <v>233</v>
      </c>
    </row>
    <row r="10" customFormat="false" ht="15" hidden="false" customHeight="false" outlineLevel="0" collapsed="false">
      <c r="A10" s="4" t="s">
        <v>234</v>
      </c>
      <c r="B10" s="22" t="s">
        <v>204</v>
      </c>
    </row>
    <row r="11" customFormat="false" ht="15" hidden="false" customHeight="false" outlineLevel="0" collapsed="false">
      <c r="A11" s="4" t="s">
        <v>235</v>
      </c>
      <c r="B11" s="22" t="s">
        <v>236</v>
      </c>
    </row>
    <row r="12" customFormat="false" ht="15" hidden="false" customHeight="false" outlineLevel="0" collapsed="false">
      <c r="A12" s="4" t="s">
        <v>237</v>
      </c>
      <c r="B12" s="22" t="s">
        <v>238</v>
      </c>
    </row>
    <row r="13" customFormat="false" ht="15" hidden="false" customHeight="false" outlineLevel="0" collapsed="false">
      <c r="A13" s="4" t="s">
        <v>239</v>
      </c>
      <c r="B13" s="22" t="s">
        <v>240</v>
      </c>
    </row>
    <row r="14" customFormat="false" ht="15" hidden="false" customHeight="false" outlineLevel="0" collapsed="false">
      <c r="A14" s="4" t="s">
        <v>241</v>
      </c>
      <c r="B14" s="22" t="s">
        <v>242</v>
      </c>
    </row>
    <row r="15" customFormat="false" ht="14.15" hidden="false" customHeight="false" outlineLevel="0" collapsed="false">
      <c r="A15" s="4" t="s">
        <v>243</v>
      </c>
      <c r="B15" s="22" t="s">
        <v>244</v>
      </c>
    </row>
    <row r="16" customFormat="false" ht="15" hidden="false" customHeight="false" outlineLevel="0" collapsed="false">
      <c r="A16" s="4" t="s">
        <v>245</v>
      </c>
    </row>
  </sheetData>
  <hyperlinks>
    <hyperlink ref="B3" r:id="rId1" display="https://github.com/cx330-TXY/CxChanger"/>
    <hyperlink ref="B4" r:id="rId2" display="https://github.com/WheelsTheCat/CxChanger"/>
    <hyperlink ref="B5" r:id="rId3" display="https://www.trianglelab.net/products/tz-v6-20-hotend"/>
    <hyperlink ref="B6" r:id="rId4" display="https://www.aliexpress.com/item/1005005920817062.html"/>
    <hyperlink ref="B7" r:id="rId5" display="https://www.aliexpress.us/item/3256807569217043.html"/>
    <hyperlink ref="B8" r:id="rId6" display="https://www.aliexpress.us/item/3256804107613674.html"/>
    <hyperlink ref="B9" r:id="rId7" display="https://www.aliexpress.us/item/3256807033585974.html"/>
    <hyperlink ref="B10" r:id="rId8" display="https://www.mouser.com/ProductDetail/MEAN-WELL/LRS-350-24?qs=ah3jBNVE1PT%2BkwLcackrGA%3D%3D"/>
    <hyperlink ref="B11" r:id="rId9" display="https://www.trcelectronics.com/products/mean-well-lrs-350-24"/>
    <hyperlink ref="B12" r:id="rId10" display="https://trianglelab.net/products/tz-20-hotend-for-bambu-lab-x1-p1p"/>
    <hyperlink ref="B13" r:id="rId11" display="https://biqu.equipment/products/bigtreetech-ebb36-42-can-bus-u2c-v2-1-klipper-board"/>
    <hyperlink ref="B14" r:id="rId12" display="https://www.aliexpress.us/item/3256804056891440.html"/>
    <hyperlink ref="B15" r:id="rId13" display="https://github.com/cx330-TXY/CxChanger/commits/ma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2026-10-01T00:00:32Z</dcterms:created>
  <dc:creator>openpyxl</dc:creator>
  <dc:description/>
  <dc:language>en-US</dc:language>
  <cp:lastModifiedBy/>
  <dcterms:modified xsi:type="dcterms:W3CDTF">2026-10-01T00:00:32Z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